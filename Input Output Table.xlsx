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gross\Desktop\"/>
    </mc:Choice>
  </mc:AlternateContent>
  <xr:revisionPtr revIDLastSave="0" documentId="13_ncr:1_{62FD55F0-5D95-4246-93EE-4CF7A004D0F7}" xr6:coauthVersionLast="36" xr6:coauthVersionMax="36" xr10:uidLastSave="{00000000-0000-0000-0000-000000000000}"/>
  <bookViews>
    <workbookView xWindow="0" yWindow="0" windowWidth="24720" windowHeight="11550" activeTab="4" xr2:uid="{F67A6619-CE6F-4015-A6A0-54A5C85935D7}"/>
  </bookViews>
  <sheets>
    <sheet name="Sheet1" sheetId="1" r:id="rId1"/>
    <sheet name="Rough Calculations" sheetId="2" r:id="rId2"/>
    <sheet name="Domestic Technical Coefficients" sheetId="3" r:id="rId3"/>
    <sheet name="Imported Technical Coefficients" sheetId="4" r:id="rId4"/>
    <sheet name="Trying Again!" sheetId="5" r:id="rId5"/>
    <sheet name="Value Added By Industry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97" i="5" l="1"/>
  <c r="AS99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D97" i="5"/>
  <c r="D98" i="5"/>
  <c r="D99" i="5"/>
  <c r="D100" i="5"/>
  <c r="D96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D94" i="5"/>
  <c r="BR49" i="5"/>
  <c r="BU49" i="5"/>
  <c r="BO53" i="5"/>
  <c r="BR53" i="5"/>
  <c r="CG55" i="5"/>
  <c r="BH57" i="5"/>
  <c r="CL59" i="5"/>
  <c r="CM59" i="5"/>
  <c r="BR61" i="5"/>
  <c r="CB63" i="5"/>
  <c r="BO64" i="5"/>
  <c r="BQ70" i="5"/>
  <c r="BQ71" i="5"/>
  <c r="BE74" i="5"/>
  <c r="CK74" i="5"/>
  <c r="CP74" i="5"/>
  <c r="BY78" i="5"/>
  <c r="CR80" i="5"/>
  <c r="CS80" i="5"/>
  <c r="BQ83" i="5"/>
  <c r="BR83" i="5"/>
  <c r="BS83" i="5"/>
  <c r="CB83" i="5"/>
  <c r="CM83" i="5"/>
  <c r="CO4" i="5"/>
  <c r="BQ5" i="5"/>
  <c r="BR5" i="5"/>
  <c r="BK6" i="5"/>
  <c r="BO6" i="5"/>
  <c r="BQ8" i="5"/>
  <c r="BR8" i="5"/>
  <c r="BU8" i="5"/>
  <c r="BX8" i="5"/>
  <c r="BY8" i="5"/>
  <c r="BF9" i="5"/>
  <c r="BI10" i="5"/>
  <c r="BK10" i="5"/>
  <c r="BO10" i="5"/>
  <c r="BU10" i="5"/>
  <c r="CA10" i="5"/>
  <c r="BQ12" i="5"/>
  <c r="BR12" i="5"/>
  <c r="BO13" i="5"/>
  <c r="BX13" i="5"/>
  <c r="CK13" i="5"/>
  <c r="CL13" i="5"/>
  <c r="CO14" i="5"/>
  <c r="BQ16" i="5"/>
  <c r="CM16" i="5"/>
  <c r="CO16" i="5"/>
  <c r="CP16" i="5"/>
  <c r="CI17" i="5"/>
  <c r="CK17" i="5"/>
  <c r="CL17" i="5"/>
  <c r="CM17" i="5"/>
  <c r="CO17" i="5"/>
  <c r="CP17" i="5"/>
  <c r="BQ19" i="5"/>
  <c r="BY19" i="5"/>
  <c r="BU20" i="5"/>
  <c r="BV20" i="5"/>
  <c r="CO20" i="5"/>
  <c r="CP20" i="5"/>
  <c r="CR20" i="5"/>
  <c r="CC21" i="5"/>
  <c r="CO23" i="5"/>
  <c r="BH24" i="5"/>
  <c r="CC24" i="5"/>
  <c r="CR25" i="5"/>
  <c r="BH26" i="5"/>
  <c r="BI26" i="5"/>
  <c r="BJ26" i="5"/>
  <c r="BK26" i="5"/>
  <c r="CF26" i="5"/>
  <c r="CI26" i="5"/>
  <c r="CK27" i="5"/>
  <c r="BO29" i="5"/>
  <c r="BP29" i="5"/>
  <c r="BQ29" i="5"/>
  <c r="BR29" i="5"/>
  <c r="BR31" i="5"/>
  <c r="BS31" i="5"/>
  <c r="BU31" i="5"/>
  <c r="BV31" i="5"/>
  <c r="CB31" i="5"/>
  <c r="BI32" i="5"/>
  <c r="BQ32" i="5"/>
  <c r="CO32" i="5"/>
  <c r="BO33" i="5"/>
  <c r="BQ33" i="5"/>
  <c r="BR33" i="5"/>
  <c r="BS33" i="5"/>
  <c r="BU33" i="5"/>
  <c r="BQ34" i="5"/>
  <c r="CL34" i="5"/>
  <c r="CM34" i="5"/>
  <c r="CO34" i="5"/>
  <c r="CP34" i="5"/>
  <c r="BU35" i="5"/>
  <c r="BZ35" i="5"/>
  <c r="CA35" i="5"/>
  <c r="CB35" i="5"/>
  <c r="CI35" i="5"/>
  <c r="BU36" i="5"/>
  <c r="BV36" i="5"/>
  <c r="CB37" i="5"/>
  <c r="CC37" i="5"/>
  <c r="CD37" i="5"/>
  <c r="CE37" i="5"/>
  <c r="CK37" i="5"/>
  <c r="CM37" i="5"/>
  <c r="BU38" i="5"/>
  <c r="BV38" i="5"/>
  <c r="BS39" i="5"/>
  <c r="BU39" i="5"/>
  <c r="BV39" i="5"/>
  <c r="CR39" i="5"/>
  <c r="BG40" i="5"/>
  <c r="CN40" i="5"/>
  <c r="BH41" i="5"/>
  <c r="BK41" i="5"/>
  <c r="CA41" i="5"/>
  <c r="CO41" i="5"/>
  <c r="BO42" i="5"/>
  <c r="CB42" i="5"/>
  <c r="CC42" i="5"/>
  <c r="CR42" i="5"/>
  <c r="BQ43" i="5"/>
  <c r="BX43" i="5"/>
  <c r="CA43" i="5"/>
  <c r="CB43" i="5"/>
  <c r="CC43" i="5"/>
  <c r="CE43" i="5"/>
  <c r="BQ44" i="5"/>
  <c r="CI44" i="5"/>
  <c r="CK44" i="5"/>
  <c r="CL44" i="5"/>
  <c r="CS6" i="5"/>
  <c r="BE10" i="5"/>
  <c r="BE28" i="5"/>
  <c r="BE31" i="5"/>
  <c r="BD9" i="5"/>
  <c r="BD11" i="5"/>
  <c r="BD12" i="5"/>
  <c r="BD13" i="5"/>
  <c r="BD26" i="5"/>
  <c r="BD29" i="5"/>
  <c r="BD30" i="5"/>
  <c r="AZ3" i="5"/>
  <c r="AZ4" i="5"/>
  <c r="AZ5" i="5"/>
  <c r="AZ6" i="5"/>
  <c r="AZ7" i="5"/>
  <c r="AZ8" i="5"/>
  <c r="AZ9" i="5"/>
  <c r="AZ10" i="5"/>
  <c r="AZ11" i="5"/>
  <c r="AZ12" i="5"/>
  <c r="AZ13" i="5"/>
  <c r="AZ14" i="5"/>
  <c r="AZ15" i="5"/>
  <c r="AZ16" i="5"/>
  <c r="AZ17" i="5"/>
  <c r="AZ18" i="5"/>
  <c r="AZ19" i="5"/>
  <c r="AZ20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Z34" i="5"/>
  <c r="AZ35" i="5"/>
  <c r="AZ36" i="5"/>
  <c r="AZ37" i="5"/>
  <c r="AZ38" i="5"/>
  <c r="AZ39" i="5"/>
  <c r="AZ40" i="5"/>
  <c r="AZ41" i="5"/>
  <c r="AZ42" i="5"/>
  <c r="AZ43" i="5"/>
  <c r="AZ44" i="5"/>
  <c r="AZ45" i="5"/>
  <c r="AZ46" i="5"/>
  <c r="AZ47" i="5"/>
  <c r="AZ48" i="5"/>
  <c r="AZ49" i="5"/>
  <c r="AZ50" i="5"/>
  <c r="AZ51" i="5"/>
  <c r="AZ52" i="5"/>
  <c r="AZ53" i="5"/>
  <c r="AZ54" i="5"/>
  <c r="AZ55" i="5"/>
  <c r="AZ56" i="5"/>
  <c r="AZ57" i="5"/>
  <c r="AZ58" i="5"/>
  <c r="AZ59" i="5"/>
  <c r="AZ60" i="5"/>
  <c r="AZ61" i="5"/>
  <c r="AZ62" i="5"/>
  <c r="AZ63" i="5"/>
  <c r="AZ64" i="5"/>
  <c r="AZ65" i="5"/>
  <c r="AZ66" i="5"/>
  <c r="AZ67" i="5"/>
  <c r="AZ68" i="5"/>
  <c r="AZ69" i="5"/>
  <c r="AZ70" i="5"/>
  <c r="AZ71" i="5"/>
  <c r="AZ72" i="5"/>
  <c r="AZ73" i="5"/>
  <c r="AZ74" i="5"/>
  <c r="AZ75" i="5"/>
  <c r="AZ76" i="5"/>
  <c r="AZ77" i="5"/>
  <c r="AZ78" i="5"/>
  <c r="AZ79" i="5"/>
  <c r="AZ80" i="5"/>
  <c r="AZ81" i="5"/>
  <c r="AZ82" i="5"/>
  <c r="AZ83" i="5"/>
  <c r="AZ84" i="5"/>
  <c r="AZ85" i="5"/>
  <c r="AZ86" i="5"/>
  <c r="E92" i="5"/>
  <c r="BE34" i="5" s="1"/>
  <c r="F92" i="5"/>
  <c r="BF40" i="5" s="1"/>
  <c r="G92" i="5"/>
  <c r="BG34" i="5" s="1"/>
  <c r="H92" i="5"/>
  <c r="BH54" i="5" s="1"/>
  <c r="I92" i="5"/>
  <c r="BI54" i="5" s="1"/>
  <c r="J92" i="5"/>
  <c r="BJ54" i="5" s="1"/>
  <c r="K92" i="5"/>
  <c r="BK43" i="5" s="1"/>
  <c r="L92" i="5"/>
  <c r="BL73" i="5" s="1"/>
  <c r="M92" i="5"/>
  <c r="BM40" i="5" s="1"/>
  <c r="N92" i="5"/>
  <c r="BN16" i="5" s="1"/>
  <c r="O92" i="5"/>
  <c r="BO72" i="5" s="1"/>
  <c r="P92" i="5"/>
  <c r="BP43" i="5" s="1"/>
  <c r="Q92" i="5"/>
  <c r="BQ31" i="5" s="1"/>
  <c r="R92" i="5"/>
  <c r="BR36" i="5" s="1"/>
  <c r="S92" i="5"/>
  <c r="BS51" i="5" s="1"/>
  <c r="T92" i="5"/>
  <c r="BT31" i="5" s="1"/>
  <c r="U92" i="5"/>
  <c r="BU6" i="5" s="1"/>
  <c r="V92" i="5"/>
  <c r="BV33" i="5" s="1"/>
  <c r="W92" i="5"/>
  <c r="BW13" i="5" s="1"/>
  <c r="X92" i="5"/>
  <c r="BX81" i="5" s="1"/>
  <c r="Y92" i="5"/>
  <c r="BY38" i="5" s="1"/>
  <c r="Z92" i="5"/>
  <c r="BZ41" i="5" s="1"/>
  <c r="AA92" i="5"/>
  <c r="CA78" i="5" s="1"/>
  <c r="AB92" i="5"/>
  <c r="CB29" i="5" s="1"/>
  <c r="AC92" i="5"/>
  <c r="CC29" i="5" s="1"/>
  <c r="AD92" i="5"/>
  <c r="CD26" i="5" s="1"/>
  <c r="AE92" i="5"/>
  <c r="CE26" i="5" s="1"/>
  <c r="AF92" i="5"/>
  <c r="CF76" i="5" s="1"/>
  <c r="AG92" i="5"/>
  <c r="CG30" i="5" s="1"/>
  <c r="AH92" i="5"/>
  <c r="CH26" i="5" s="1"/>
  <c r="AI92" i="5"/>
  <c r="CI69" i="5" s="1"/>
  <c r="AJ92" i="5"/>
  <c r="CJ54" i="5" s="1"/>
  <c r="AK92" i="5"/>
  <c r="CK34" i="5" s="1"/>
  <c r="AL92" i="5"/>
  <c r="CL21" i="5" s="1"/>
  <c r="AM92" i="5"/>
  <c r="CM47" i="5" s="1"/>
  <c r="AN92" i="5"/>
  <c r="CN37" i="5" s="1"/>
  <c r="AO92" i="5"/>
  <c r="CO21" i="5" s="1"/>
  <c r="AP92" i="5"/>
  <c r="CP14" i="5" s="1"/>
  <c r="AQ92" i="5"/>
  <c r="CQ33" i="5" s="1"/>
  <c r="AR92" i="5"/>
  <c r="CR23" i="5" s="1"/>
  <c r="AS92" i="5"/>
  <c r="CS74" i="5" s="1"/>
  <c r="D92" i="5"/>
  <c r="BD6" i="5" s="1"/>
  <c r="F100" i="2"/>
  <c r="D102" i="2"/>
  <c r="D92" i="2"/>
  <c r="G100" i="2"/>
  <c r="G98" i="2"/>
  <c r="F98" i="2"/>
  <c r="D97" i="2"/>
  <c r="F97" i="2"/>
  <c r="D100" i="2"/>
  <c r="CF21" i="5" l="1"/>
  <c r="BL75" i="5"/>
  <c r="BL65" i="5"/>
  <c r="CD43" i="5"/>
  <c r="BJ41" i="5"/>
  <c r="CC35" i="5"/>
  <c r="CG26" i="5"/>
  <c r="BI24" i="5"/>
  <c r="CE21" i="5"/>
  <c r="BM6" i="5"/>
  <c r="BJ75" i="5"/>
  <c r="BP64" i="5"/>
  <c r="CI55" i="5"/>
  <c r="BM39" i="5"/>
  <c r="CG44" i="5"/>
  <c r="BM28" i="5"/>
  <c r="BM83" i="5"/>
  <c r="CE40" i="5"/>
  <c r="CD44" i="5"/>
  <c r="CD40" i="5"/>
  <c r="BH39" i="5"/>
  <c r="BH37" i="5"/>
  <c r="BN31" i="5"/>
  <c r="BK28" i="5"/>
  <c r="CI25" i="5"/>
  <c r="BJ23" i="5"/>
  <c r="BN20" i="5"/>
  <c r="BJ13" i="5"/>
  <c r="BV8" i="5"/>
  <c r="BO3" i="5"/>
  <c r="CA71" i="5"/>
  <c r="BH52" i="5"/>
  <c r="CH44" i="5"/>
  <c r="BL64" i="5"/>
  <c r="BP31" i="5"/>
  <c r="BM13" i="5"/>
  <c r="CE44" i="5"/>
  <c r="BI37" i="5"/>
  <c r="BL28" i="5"/>
  <c r="BK23" i="5"/>
  <c r="BK53" i="5"/>
  <c r="BN43" i="5"/>
  <c r="BE14" i="5"/>
  <c r="CB44" i="5"/>
  <c r="BL43" i="5"/>
  <c r="BH42" i="5"/>
  <c r="CC40" i="5"/>
  <c r="CC38" i="5"/>
  <c r="BG37" i="5"/>
  <c r="CF32" i="5"/>
  <c r="CD30" i="5"/>
  <c r="BJ28" i="5"/>
  <c r="CH25" i="5"/>
  <c r="BI23" i="5"/>
  <c r="CC19" i="5"/>
  <c r="BN3" i="5"/>
  <c r="BU80" i="5"/>
  <c r="BZ71" i="5"/>
  <c r="BP61" i="5"/>
  <c r="CB51" i="5"/>
  <c r="BM29" i="5"/>
  <c r="BL42" i="5"/>
  <c r="CF44" i="5"/>
  <c r="BM33" i="5"/>
  <c r="CE23" i="5"/>
  <c r="CH17" i="5"/>
  <c r="BO43" i="5"/>
  <c r="CC71" i="5"/>
  <c r="BE13" i="5"/>
  <c r="BF43" i="5"/>
  <c r="CB40" i="5"/>
  <c r="CB38" i="5"/>
  <c r="BF37" i="5"/>
  <c r="CJ34" i="5"/>
  <c r="CE32" i="5"/>
  <c r="CC30" i="5"/>
  <c r="BH28" i="5"/>
  <c r="BN25" i="5"/>
  <c r="BH23" i="5"/>
  <c r="CB19" i="5"/>
  <c r="CG16" i="5"/>
  <c r="BL3" i="5"/>
  <c r="BK80" i="5"/>
  <c r="BO61" i="5"/>
  <c r="BK50" i="5"/>
  <c r="BN42" i="5"/>
  <c r="BM64" i="5"/>
  <c r="CE71" i="5"/>
  <c r="BJ37" i="5"/>
  <c r="CG63" i="5"/>
  <c r="BI39" i="5"/>
  <c r="BO31" i="5"/>
  <c r="BI42" i="5"/>
  <c r="BE12" i="5"/>
  <c r="BP44" i="5"/>
  <c r="CH41" i="5"/>
  <c r="BI40" i="5"/>
  <c r="CA38" i="5"/>
  <c r="CP36" i="5"/>
  <c r="CH34" i="5"/>
  <c r="CD32" i="5"/>
  <c r="CB30" i="5"/>
  <c r="BM25" i="5"/>
  <c r="BG23" i="5"/>
  <c r="CA19" i="5"/>
  <c r="BP12" i="5"/>
  <c r="BK3" i="5"/>
  <c r="BJ80" i="5"/>
  <c r="CP59" i="5"/>
  <c r="CA49" i="5"/>
  <c r="BE11" i="5"/>
  <c r="BO44" i="5"/>
  <c r="CP42" i="5"/>
  <c r="CB41" i="5"/>
  <c r="BH40" i="5"/>
  <c r="BZ38" i="5"/>
  <c r="CO36" i="5"/>
  <c r="CB34" i="5"/>
  <c r="CC32" i="5"/>
  <c r="BO30" i="5"/>
  <c r="BQ27" i="5"/>
  <c r="BL25" i="5"/>
  <c r="CE22" i="5"/>
  <c r="BZ19" i="5"/>
  <c r="BP16" i="5"/>
  <c r="BO12" i="5"/>
  <c r="BI8" i="5"/>
  <c r="BJ3" i="5"/>
  <c r="CB78" i="5"/>
  <c r="BH70" i="5"/>
  <c r="CO59" i="5"/>
  <c r="BV49" i="5"/>
  <c r="BN64" i="5"/>
  <c r="CH40" i="5"/>
  <c r="BN53" i="5"/>
  <c r="BL4" i="5"/>
  <c r="BN30" i="5"/>
  <c r="BM44" i="5"/>
  <c r="BJ25" i="5"/>
  <c r="CS31" i="5"/>
  <c r="BL44" i="5"/>
  <c r="CH42" i="5"/>
  <c r="BX41" i="5"/>
  <c r="CO39" i="5"/>
  <c r="BL38" i="5"/>
  <c r="BS36" i="5"/>
  <c r="BN34" i="5"/>
  <c r="BN32" i="5"/>
  <c r="BK30" i="5"/>
  <c r="BN27" i="5"/>
  <c r="BI25" i="5"/>
  <c r="BF22" i="5"/>
  <c r="BP19" i="5"/>
  <c r="BN15" i="5"/>
  <c r="CD11" i="5"/>
  <c r="BG7" i="5"/>
  <c r="BN86" i="5"/>
  <c r="BY77" i="5"/>
  <c r="BI68" i="5"/>
  <c r="CF59" i="5"/>
  <c r="BQ49" i="5"/>
  <c r="BM42" i="5"/>
  <c r="CG40" i="5"/>
  <c r="BL29" i="5"/>
  <c r="CF23" i="5"/>
  <c r="BN83" i="5"/>
  <c r="CF40" i="5"/>
  <c r="BM53" i="5"/>
  <c r="BK13" i="5"/>
  <c r="BN44" i="5"/>
  <c r="BP27" i="5"/>
  <c r="BO16" i="5"/>
  <c r="CF7" i="5"/>
  <c r="BK68" i="5"/>
  <c r="BD3" i="5"/>
  <c r="CS30" i="5"/>
  <c r="BK44" i="5"/>
  <c r="CG42" i="5"/>
  <c r="BO41" i="5"/>
  <c r="CG39" i="5"/>
  <c r="BK38" i="5"/>
  <c r="BH34" i="5"/>
  <c r="BM32" i="5"/>
  <c r="BJ30" i="5"/>
  <c r="BM27" i="5"/>
  <c r="CH24" i="5"/>
  <c r="CR21" i="5"/>
  <c r="BK19" i="5"/>
  <c r="BM15" i="5"/>
  <c r="CC11" i="5"/>
  <c r="BF7" i="5"/>
  <c r="BM86" i="5"/>
  <c r="BV77" i="5"/>
  <c r="BH68" i="5"/>
  <c r="CC59" i="5"/>
  <c r="BN49" i="5"/>
  <c r="BK39" i="5"/>
  <c r="BN13" i="5"/>
  <c r="CD71" i="5"/>
  <c r="BJ42" i="5"/>
  <c r="CJ42" i="5"/>
  <c r="CD22" i="5"/>
  <c r="CI42" i="5"/>
  <c r="BP34" i="5"/>
  <c r="BO27" i="5"/>
  <c r="BO15" i="5"/>
  <c r="BJ68" i="5"/>
  <c r="BD33" i="5"/>
  <c r="CS29" i="5"/>
  <c r="BJ44" i="5"/>
  <c r="CF42" i="5"/>
  <c r="BN41" i="5"/>
  <c r="CF39" i="5"/>
  <c r="CP37" i="5"/>
  <c r="BJ36" i="5"/>
  <c r="BL32" i="5"/>
  <c r="BI30" i="5"/>
  <c r="BL27" i="5"/>
  <c r="CG24" i="5"/>
  <c r="CP21" i="5"/>
  <c r="CO18" i="5"/>
  <c r="BL15" i="5"/>
  <c r="CB11" i="5"/>
  <c r="BY6" i="5"/>
  <c r="BL86" i="5"/>
  <c r="BU77" i="5"/>
  <c r="CH67" i="5"/>
  <c r="CC57" i="5"/>
  <c r="CK48" i="5"/>
  <c r="BL39" i="5"/>
  <c r="BN33" i="5"/>
  <c r="BJ39" i="5"/>
  <c r="BK33" i="5"/>
  <c r="BE7" i="5"/>
  <c r="BM30" i="5"/>
  <c r="CC22" i="5"/>
  <c r="BL12" i="5"/>
  <c r="BO86" i="5"/>
  <c r="BD32" i="5"/>
  <c r="CS28" i="5"/>
  <c r="BI44" i="5"/>
  <c r="CE42" i="5"/>
  <c r="BM41" i="5"/>
  <c r="CE39" i="5"/>
  <c r="CO37" i="5"/>
  <c r="BI36" i="5"/>
  <c r="CO33" i="5"/>
  <c r="BK32" i="5"/>
  <c r="BH30" i="5"/>
  <c r="BJ27" i="5"/>
  <c r="CF24" i="5"/>
  <c r="BV18" i="5"/>
  <c r="BF15" i="5"/>
  <c r="CC10" i="5"/>
  <c r="BX6" i="5"/>
  <c r="BM85" i="5"/>
  <c r="CE76" i="5"/>
  <c r="BU67" i="5"/>
  <c r="BK57" i="5"/>
  <c r="CF47" i="5"/>
  <c r="CH23" i="5"/>
  <c r="BK42" i="5"/>
  <c r="BM4" i="5"/>
  <c r="BK25" i="5"/>
  <c r="BN12" i="5"/>
  <c r="BH3" i="5"/>
  <c r="BP32" i="5"/>
  <c r="BI7" i="5"/>
  <c r="BH78" i="5"/>
  <c r="BD31" i="5"/>
  <c r="CS27" i="5"/>
  <c r="BH44" i="5"/>
  <c r="CD42" i="5"/>
  <c r="BL41" i="5"/>
  <c r="CD39" i="5"/>
  <c r="BH36" i="5"/>
  <c r="BJ32" i="5"/>
  <c r="BS29" i="5"/>
  <c r="CJ26" i="5"/>
  <c r="CD24" i="5"/>
  <c r="BU18" i="5"/>
  <c r="CB10" i="5"/>
  <c r="BK85" i="5"/>
  <c r="CD76" i="5"/>
  <c r="BQ66" i="5"/>
  <c r="BJ57" i="5"/>
  <c r="CE47" i="5"/>
  <c r="CQ20" i="5"/>
  <c r="CN52" i="5"/>
  <c r="CN72" i="5"/>
  <c r="CN53" i="5"/>
  <c r="CN73" i="5"/>
  <c r="CN54" i="5"/>
  <c r="CN74" i="5"/>
  <c r="CN55" i="5"/>
  <c r="CN75" i="5"/>
  <c r="CN49" i="5"/>
  <c r="CN69" i="5"/>
  <c r="CN65" i="5"/>
  <c r="CN56" i="5"/>
  <c r="CN67" i="5"/>
  <c r="CN82" i="5"/>
  <c r="CN58" i="5"/>
  <c r="CN45" i="5"/>
  <c r="CN60" i="5"/>
  <c r="CN61" i="5"/>
  <c r="CN71" i="5"/>
  <c r="CN84" i="5"/>
  <c r="CN86" i="5"/>
  <c r="CN48" i="5"/>
  <c r="CN6" i="5"/>
  <c r="CN10" i="5"/>
  <c r="CN64" i="5"/>
  <c r="CN78" i="5"/>
  <c r="CN51" i="5"/>
  <c r="CN63" i="5"/>
  <c r="CN79" i="5"/>
  <c r="CN50" i="5"/>
  <c r="CN62" i="5"/>
  <c r="CN28" i="5"/>
  <c r="CN76" i="5"/>
  <c r="CN5" i="5"/>
  <c r="CN8" i="5"/>
  <c r="CN11" i="5"/>
  <c r="CN27" i="5"/>
  <c r="CN26" i="5"/>
  <c r="CN46" i="5"/>
  <c r="CN57" i="5"/>
  <c r="CN25" i="5"/>
  <c r="CN24" i="5"/>
  <c r="CN70" i="5"/>
  <c r="CN44" i="5"/>
  <c r="CN9" i="5"/>
  <c r="CN22" i="5"/>
  <c r="CN43" i="5"/>
  <c r="CN42" i="5"/>
  <c r="CN66" i="5"/>
  <c r="CN68" i="5"/>
  <c r="CN77" i="5"/>
  <c r="CN41" i="5"/>
  <c r="CN19" i="5"/>
  <c r="CN12" i="5"/>
  <c r="CN39" i="5"/>
  <c r="CN14" i="5"/>
  <c r="CN81" i="5"/>
  <c r="CN18" i="5"/>
  <c r="CN29" i="5"/>
  <c r="CN32" i="5"/>
  <c r="CN23" i="5"/>
  <c r="CN85" i="5"/>
  <c r="CN35" i="5"/>
  <c r="CN7" i="5"/>
  <c r="CN3" i="5"/>
  <c r="CN31" i="5"/>
  <c r="CN38" i="5"/>
  <c r="CN15" i="5"/>
  <c r="CN30" i="5"/>
  <c r="CN33" i="5"/>
  <c r="CN47" i="5"/>
  <c r="CN36" i="5"/>
  <c r="CN59" i="5"/>
  <c r="CN17" i="5"/>
  <c r="CN80" i="5"/>
  <c r="CN21" i="5"/>
  <c r="CN20" i="5"/>
  <c r="CS85" i="5"/>
  <c r="BW35" i="5"/>
  <c r="BT33" i="5"/>
  <c r="BT29" i="5"/>
  <c r="CQ42" i="5"/>
  <c r="CN83" i="5"/>
  <c r="CN16" i="5"/>
  <c r="CQ4" i="5"/>
  <c r="CQ59" i="5"/>
  <c r="BD10" i="5"/>
  <c r="CS24" i="5"/>
  <c r="BY41" i="5"/>
  <c r="CN34" i="5"/>
  <c r="CQ21" i="5"/>
  <c r="BW4" i="5"/>
  <c r="CR67" i="5"/>
  <c r="BW8" i="5"/>
  <c r="BW36" i="5"/>
  <c r="CQ17" i="5"/>
  <c r="CN13" i="5"/>
  <c r="CS5" i="5"/>
  <c r="BX26" i="5"/>
  <c r="CN4" i="5"/>
  <c r="CA45" i="5"/>
  <c r="CA65" i="5"/>
  <c r="CA85" i="5"/>
  <c r="CA46" i="5"/>
  <c r="CA66" i="5"/>
  <c r="CA47" i="5"/>
  <c r="CA67" i="5"/>
  <c r="CA48" i="5"/>
  <c r="CA68" i="5"/>
  <c r="CA62" i="5"/>
  <c r="CA82" i="5"/>
  <c r="CA53" i="5"/>
  <c r="CA64" i="5"/>
  <c r="CA79" i="5"/>
  <c r="CA4" i="5"/>
  <c r="CA55" i="5"/>
  <c r="CA70" i="5"/>
  <c r="CA3" i="5"/>
  <c r="CA57" i="5"/>
  <c r="CA72" i="5"/>
  <c r="CA73" i="5"/>
  <c r="CA15" i="5"/>
  <c r="CA54" i="5"/>
  <c r="CA74" i="5"/>
  <c r="CA8" i="5"/>
  <c r="CA14" i="5"/>
  <c r="CA13" i="5"/>
  <c r="CA80" i="5"/>
  <c r="CA12" i="5"/>
  <c r="CA83" i="5"/>
  <c r="CA56" i="5"/>
  <c r="CA6" i="5"/>
  <c r="CA9" i="5"/>
  <c r="CA20" i="5"/>
  <c r="CA84" i="5"/>
  <c r="CA32" i="5"/>
  <c r="CA52" i="5"/>
  <c r="CA86" i="5"/>
  <c r="CA31" i="5"/>
  <c r="CA60" i="5"/>
  <c r="CA33" i="5"/>
  <c r="CA77" i="5"/>
  <c r="CA5" i="5"/>
  <c r="CA25" i="5"/>
  <c r="CA50" i="5"/>
  <c r="CA58" i="5"/>
  <c r="CA23" i="5"/>
  <c r="CA21" i="5"/>
  <c r="CA30" i="5"/>
  <c r="CA16" i="5"/>
  <c r="CA61" i="5"/>
  <c r="CA29" i="5"/>
  <c r="CA59" i="5"/>
  <c r="CA40" i="5"/>
  <c r="CA18" i="5"/>
  <c r="CA26" i="5"/>
  <c r="CA75" i="5"/>
  <c r="CA36" i="5"/>
  <c r="CA69" i="5"/>
  <c r="CA7" i="5"/>
  <c r="CA27" i="5"/>
  <c r="CA39" i="5"/>
  <c r="CA44" i="5"/>
  <c r="CA51" i="5"/>
  <c r="CA76" i="5"/>
  <c r="CA24" i="5"/>
  <c r="CA17" i="5"/>
  <c r="CA42" i="5"/>
  <c r="CA22" i="5"/>
  <c r="CA11" i="5"/>
  <c r="CA34" i="5"/>
  <c r="CA63" i="5"/>
  <c r="CA37" i="5"/>
  <c r="BG45" i="5"/>
  <c r="BG65" i="5"/>
  <c r="BG85" i="5"/>
  <c r="BG46" i="5"/>
  <c r="BG66" i="5"/>
  <c r="BG86" i="5"/>
  <c r="BG47" i="5"/>
  <c r="BG67" i="5"/>
  <c r="BG48" i="5"/>
  <c r="BG68" i="5"/>
  <c r="BG62" i="5"/>
  <c r="BG82" i="5"/>
  <c r="BG58" i="5"/>
  <c r="BG73" i="5"/>
  <c r="BG49" i="5"/>
  <c r="BG4" i="5"/>
  <c r="BG60" i="5"/>
  <c r="BG75" i="5"/>
  <c r="BG3" i="5"/>
  <c r="BG51" i="5"/>
  <c r="BG77" i="5"/>
  <c r="BG53" i="5"/>
  <c r="BG64" i="5"/>
  <c r="BG84" i="5"/>
  <c r="BG15" i="5"/>
  <c r="BG14" i="5"/>
  <c r="BG13" i="5"/>
  <c r="BG61" i="5"/>
  <c r="BG71" i="5"/>
  <c r="BG8" i="5"/>
  <c r="BG12" i="5"/>
  <c r="BG50" i="5"/>
  <c r="BG72" i="5"/>
  <c r="BG78" i="5"/>
  <c r="BG55" i="5"/>
  <c r="BG63" i="5"/>
  <c r="BG18" i="5"/>
  <c r="BG5" i="5"/>
  <c r="BG16" i="5"/>
  <c r="BG32" i="5"/>
  <c r="BG59" i="5"/>
  <c r="BG31" i="5"/>
  <c r="BG74" i="5"/>
  <c r="BG56" i="5"/>
  <c r="BG81" i="5"/>
  <c r="BG29" i="5"/>
  <c r="BG76" i="5"/>
  <c r="BG33" i="5"/>
  <c r="BG19" i="5"/>
  <c r="BG27" i="5"/>
  <c r="BG20" i="5"/>
  <c r="BG25" i="5"/>
  <c r="BG80" i="5"/>
  <c r="BG54" i="5"/>
  <c r="BG9" i="5"/>
  <c r="BG22" i="5"/>
  <c r="BG43" i="5"/>
  <c r="BG69" i="5"/>
  <c r="BG21" i="5"/>
  <c r="BG79" i="5"/>
  <c r="BG11" i="5"/>
  <c r="BG35" i="5"/>
  <c r="BG17" i="5"/>
  <c r="BG38" i="5"/>
  <c r="BG6" i="5"/>
  <c r="BG28" i="5"/>
  <c r="BG41" i="5"/>
  <c r="BG70" i="5"/>
  <c r="BG30" i="5"/>
  <c r="BG36" i="5"/>
  <c r="BG44" i="5"/>
  <c r="BG83" i="5"/>
  <c r="BG39" i="5"/>
  <c r="BG52" i="5"/>
  <c r="BG10" i="5"/>
  <c r="BG42" i="5"/>
  <c r="BG26" i="5"/>
  <c r="BE35" i="5"/>
  <c r="CS4" i="5"/>
  <c r="CA28" i="5"/>
  <c r="BG24" i="5"/>
  <c r="CQ49" i="5"/>
  <c r="CQ69" i="5"/>
  <c r="CQ50" i="5"/>
  <c r="CQ70" i="5"/>
  <c r="CQ51" i="5"/>
  <c r="CQ71" i="5"/>
  <c r="CQ52" i="5"/>
  <c r="CQ72" i="5"/>
  <c r="CQ46" i="5"/>
  <c r="CQ66" i="5"/>
  <c r="CQ48" i="5"/>
  <c r="CQ63" i="5"/>
  <c r="CQ78" i="5"/>
  <c r="CQ54" i="5"/>
  <c r="CQ65" i="5"/>
  <c r="CQ80" i="5"/>
  <c r="CQ56" i="5"/>
  <c r="CQ67" i="5"/>
  <c r="CQ77" i="5"/>
  <c r="CQ81" i="5"/>
  <c r="CQ3" i="5"/>
  <c r="CQ7" i="5"/>
  <c r="CQ11" i="5"/>
  <c r="CQ62" i="5"/>
  <c r="CQ61" i="5"/>
  <c r="CQ84" i="5"/>
  <c r="CQ86" i="5"/>
  <c r="CQ15" i="5"/>
  <c r="CQ31" i="5"/>
  <c r="CQ30" i="5"/>
  <c r="CQ53" i="5"/>
  <c r="CQ13" i="5"/>
  <c r="CQ19" i="5"/>
  <c r="CQ29" i="5"/>
  <c r="CQ28" i="5"/>
  <c r="CQ75" i="5"/>
  <c r="CQ76" i="5"/>
  <c r="CQ5" i="5"/>
  <c r="CQ8" i="5"/>
  <c r="CQ27" i="5"/>
  <c r="CQ57" i="5"/>
  <c r="CQ45" i="5"/>
  <c r="CQ47" i="5"/>
  <c r="CQ18" i="5"/>
  <c r="CQ26" i="5"/>
  <c r="CQ32" i="5"/>
  <c r="CQ64" i="5"/>
  <c r="CQ83" i="5"/>
  <c r="CQ24" i="5"/>
  <c r="CQ79" i="5"/>
  <c r="CQ82" i="5"/>
  <c r="CQ44" i="5"/>
  <c r="CQ60" i="5"/>
  <c r="CQ6" i="5"/>
  <c r="CQ9" i="5"/>
  <c r="CQ10" i="5"/>
  <c r="CQ22" i="5"/>
  <c r="CQ68" i="5"/>
  <c r="CQ74" i="5"/>
  <c r="CQ12" i="5"/>
  <c r="CQ16" i="5"/>
  <c r="CQ37" i="5"/>
  <c r="CQ55" i="5"/>
  <c r="CQ40" i="5"/>
  <c r="CQ38" i="5"/>
  <c r="CQ25" i="5"/>
  <c r="CQ41" i="5"/>
  <c r="CQ58" i="5"/>
  <c r="CQ35" i="5"/>
  <c r="CQ43" i="5"/>
  <c r="CQ73" i="5"/>
  <c r="CQ14" i="5"/>
  <c r="CQ36" i="5"/>
  <c r="CQ85" i="5"/>
  <c r="CQ23" i="5"/>
  <c r="CQ39" i="5"/>
  <c r="BT52" i="5"/>
  <c r="BT72" i="5"/>
  <c r="BT53" i="5"/>
  <c r="BT73" i="5"/>
  <c r="BT54" i="5"/>
  <c r="BT74" i="5"/>
  <c r="BT55" i="5"/>
  <c r="BT75" i="5"/>
  <c r="BT49" i="5"/>
  <c r="BT69" i="5"/>
  <c r="BT46" i="5"/>
  <c r="BT61" i="5"/>
  <c r="BT76" i="5"/>
  <c r="BT48" i="5"/>
  <c r="BT63" i="5"/>
  <c r="BT78" i="5"/>
  <c r="BT50" i="5"/>
  <c r="BT65" i="5"/>
  <c r="BT83" i="5"/>
  <c r="BT58" i="5"/>
  <c r="BT57" i="5"/>
  <c r="BT68" i="5"/>
  <c r="BT86" i="5"/>
  <c r="BT45" i="5"/>
  <c r="BT81" i="5"/>
  <c r="BT6" i="5"/>
  <c r="BT10" i="5"/>
  <c r="BT85" i="5"/>
  <c r="BT17" i="5"/>
  <c r="BT28" i="5"/>
  <c r="BT56" i="5"/>
  <c r="BT79" i="5"/>
  <c r="BT27" i="5"/>
  <c r="BT15" i="5"/>
  <c r="BT19" i="5"/>
  <c r="BT26" i="5"/>
  <c r="BT64" i="5"/>
  <c r="BT4" i="5"/>
  <c r="BT7" i="5"/>
  <c r="BT25" i="5"/>
  <c r="BT13" i="5"/>
  <c r="BT24" i="5"/>
  <c r="BT59" i="5"/>
  <c r="BT60" i="5"/>
  <c r="BT3" i="5"/>
  <c r="BT66" i="5"/>
  <c r="BT70" i="5"/>
  <c r="BT44" i="5"/>
  <c r="BT16" i="5"/>
  <c r="BT32" i="5"/>
  <c r="BT43" i="5"/>
  <c r="BT42" i="5"/>
  <c r="BT30" i="5"/>
  <c r="BT41" i="5"/>
  <c r="BT18" i="5"/>
  <c r="BT39" i="5"/>
  <c r="BT71" i="5"/>
  <c r="BT80" i="5"/>
  <c r="BT5" i="5"/>
  <c r="BT82" i="5"/>
  <c r="BT84" i="5"/>
  <c r="BT12" i="5"/>
  <c r="BT22" i="5"/>
  <c r="BT11" i="5"/>
  <c r="BT34" i="5"/>
  <c r="BT47" i="5"/>
  <c r="BT23" i="5"/>
  <c r="BT37" i="5"/>
  <c r="BT9" i="5"/>
  <c r="BT51" i="5"/>
  <c r="BT40" i="5"/>
  <c r="BT62" i="5"/>
  <c r="BT21" i="5"/>
  <c r="BT14" i="5"/>
  <c r="BT35" i="5"/>
  <c r="BT67" i="5"/>
  <c r="BT77" i="5"/>
  <c r="BT20" i="5"/>
  <c r="BT38" i="5"/>
  <c r="BT8" i="5"/>
  <c r="BD50" i="5"/>
  <c r="BD70" i="5"/>
  <c r="BD51" i="5"/>
  <c r="BD71" i="5"/>
  <c r="BD61" i="5"/>
  <c r="BD83" i="5"/>
  <c r="BD62" i="5"/>
  <c r="BD84" i="5"/>
  <c r="BD63" i="5"/>
  <c r="BD85" i="5"/>
  <c r="BD64" i="5"/>
  <c r="BD86" i="5"/>
  <c r="BD65" i="5"/>
  <c r="BD45" i="5"/>
  <c r="BD52" i="5"/>
  <c r="BD79" i="5"/>
  <c r="BD53" i="5"/>
  <c r="BD80" i="5"/>
  <c r="BD54" i="5"/>
  <c r="BD81" i="5"/>
  <c r="BD55" i="5"/>
  <c r="BD82" i="5"/>
  <c r="BD56" i="5"/>
  <c r="BD57" i="5"/>
  <c r="BD69" i="5"/>
  <c r="BD72" i="5"/>
  <c r="BD73" i="5"/>
  <c r="BD74" i="5"/>
  <c r="BD75" i="5"/>
  <c r="BD76" i="5"/>
  <c r="BD77" i="5"/>
  <c r="BD49" i="5"/>
  <c r="BD14" i="5"/>
  <c r="BD34" i="5"/>
  <c r="BD67" i="5"/>
  <c r="BD15" i="5"/>
  <c r="BD35" i="5"/>
  <c r="BD19" i="5"/>
  <c r="BD16" i="5"/>
  <c r="BD36" i="5"/>
  <c r="BD21" i="5"/>
  <c r="BD22" i="5"/>
  <c r="BD25" i="5"/>
  <c r="BD17" i="5"/>
  <c r="BD37" i="5"/>
  <c r="BD42" i="5"/>
  <c r="BD4" i="5"/>
  <c r="BD46" i="5"/>
  <c r="BD18" i="5"/>
  <c r="BD38" i="5"/>
  <c r="BD39" i="5"/>
  <c r="BD58" i="5"/>
  <c r="BD5" i="5"/>
  <c r="BD47" i="5"/>
  <c r="BD41" i="5"/>
  <c r="BD48" i="5"/>
  <c r="BD20" i="5"/>
  <c r="BD40" i="5"/>
  <c r="BD59" i="5"/>
  <c r="BD60" i="5"/>
  <c r="BD23" i="5"/>
  <c r="BD43" i="5"/>
  <c r="BD66" i="5"/>
  <c r="BD24" i="5"/>
  <c r="BD44" i="5"/>
  <c r="BD68" i="5"/>
  <c r="BD78" i="5"/>
  <c r="BD7" i="5"/>
  <c r="BD27" i="5"/>
  <c r="BD8" i="5"/>
  <c r="BD28" i="5"/>
  <c r="BZ46" i="5"/>
  <c r="BZ66" i="5"/>
  <c r="BZ47" i="5"/>
  <c r="BZ67" i="5"/>
  <c r="BZ48" i="5"/>
  <c r="BZ68" i="5"/>
  <c r="BZ49" i="5"/>
  <c r="BZ69" i="5"/>
  <c r="BZ63" i="5"/>
  <c r="BZ83" i="5"/>
  <c r="BZ79" i="5"/>
  <c r="BZ55" i="5"/>
  <c r="BZ70" i="5"/>
  <c r="BZ3" i="5"/>
  <c r="BZ81" i="5"/>
  <c r="BZ57" i="5"/>
  <c r="BZ72" i="5"/>
  <c r="BZ59" i="5"/>
  <c r="BZ54" i="5"/>
  <c r="BZ74" i="5"/>
  <c r="BZ4" i="5"/>
  <c r="BZ8" i="5"/>
  <c r="BZ14" i="5"/>
  <c r="BZ53" i="5"/>
  <c r="BZ13" i="5"/>
  <c r="BZ80" i="5"/>
  <c r="BZ12" i="5"/>
  <c r="BZ56" i="5"/>
  <c r="BZ45" i="5"/>
  <c r="BZ20" i="5"/>
  <c r="BZ65" i="5"/>
  <c r="BZ82" i="5"/>
  <c r="BZ84" i="5"/>
  <c r="BZ33" i="5"/>
  <c r="BZ52" i="5"/>
  <c r="BZ85" i="5"/>
  <c r="BZ86" i="5"/>
  <c r="BZ31" i="5"/>
  <c r="BZ7" i="5"/>
  <c r="BZ10" i="5"/>
  <c r="BZ30" i="5"/>
  <c r="BZ60" i="5"/>
  <c r="BZ77" i="5"/>
  <c r="BZ5" i="5"/>
  <c r="BZ6" i="5"/>
  <c r="BZ9" i="5"/>
  <c r="BZ25" i="5"/>
  <c r="BZ50" i="5"/>
  <c r="BZ58" i="5"/>
  <c r="BZ64" i="5"/>
  <c r="BZ23" i="5"/>
  <c r="BZ62" i="5"/>
  <c r="BZ15" i="5"/>
  <c r="BZ21" i="5"/>
  <c r="BZ76" i="5"/>
  <c r="BZ32" i="5"/>
  <c r="BZ78" i="5"/>
  <c r="BZ51" i="5"/>
  <c r="BZ29" i="5"/>
  <c r="BZ42" i="5"/>
  <c r="BZ11" i="5"/>
  <c r="BZ61" i="5"/>
  <c r="BZ18" i="5"/>
  <c r="BZ26" i="5"/>
  <c r="BZ75" i="5"/>
  <c r="BZ36" i="5"/>
  <c r="BZ22" i="5"/>
  <c r="BZ27" i="5"/>
  <c r="BZ39" i="5"/>
  <c r="BZ44" i="5"/>
  <c r="BZ24" i="5"/>
  <c r="BZ17" i="5"/>
  <c r="BZ73" i="5"/>
  <c r="BZ34" i="5"/>
  <c r="BZ37" i="5"/>
  <c r="BZ40" i="5"/>
  <c r="BZ16" i="5"/>
  <c r="BZ43" i="5"/>
  <c r="BF45" i="5"/>
  <c r="BF46" i="5"/>
  <c r="BF66" i="5"/>
  <c r="BF86" i="5"/>
  <c r="BF47" i="5"/>
  <c r="BF67" i="5"/>
  <c r="BF48" i="5"/>
  <c r="BF68" i="5"/>
  <c r="BF49" i="5"/>
  <c r="BF69" i="5"/>
  <c r="BF63" i="5"/>
  <c r="BF83" i="5"/>
  <c r="BF60" i="5"/>
  <c r="BF75" i="5"/>
  <c r="BF3" i="5"/>
  <c r="BF51" i="5"/>
  <c r="BF62" i="5"/>
  <c r="BF77" i="5"/>
  <c r="BF53" i="5"/>
  <c r="BF64" i="5"/>
  <c r="BF14" i="5"/>
  <c r="BF13" i="5"/>
  <c r="BF61" i="5"/>
  <c r="BF71" i="5"/>
  <c r="BF4" i="5"/>
  <c r="BF8" i="5"/>
  <c r="BF12" i="5"/>
  <c r="BF50" i="5"/>
  <c r="BF72" i="5"/>
  <c r="BF78" i="5"/>
  <c r="BF82" i="5"/>
  <c r="BF79" i="5"/>
  <c r="BF18" i="5"/>
  <c r="BF5" i="5"/>
  <c r="BF33" i="5"/>
  <c r="BF16" i="5"/>
  <c r="BF32" i="5"/>
  <c r="BF59" i="5"/>
  <c r="BF31" i="5"/>
  <c r="BF20" i="5"/>
  <c r="BF30" i="5"/>
  <c r="BF54" i="5"/>
  <c r="BF56" i="5"/>
  <c r="BF81" i="5"/>
  <c r="BF29" i="5"/>
  <c r="BF76" i="5"/>
  <c r="BF19" i="5"/>
  <c r="BF27" i="5"/>
  <c r="BF65" i="5"/>
  <c r="BF84" i="5"/>
  <c r="BF25" i="5"/>
  <c r="BF57" i="5"/>
  <c r="BF21" i="5"/>
  <c r="BF11" i="5"/>
  <c r="BF35" i="5"/>
  <c r="BF17" i="5"/>
  <c r="BF38" i="5"/>
  <c r="BF85" i="5"/>
  <c r="BF41" i="5"/>
  <c r="BF58" i="5"/>
  <c r="BF80" i="5"/>
  <c r="BF55" i="5"/>
  <c r="BF73" i="5"/>
  <c r="BF70" i="5"/>
  <c r="BF6" i="5"/>
  <c r="BF36" i="5"/>
  <c r="BF44" i="5"/>
  <c r="BF39" i="5"/>
  <c r="BF52" i="5"/>
  <c r="BF10" i="5"/>
  <c r="BF28" i="5"/>
  <c r="BF42" i="5"/>
  <c r="BF74" i="5"/>
  <c r="BF26" i="5"/>
  <c r="BF23" i="5"/>
  <c r="BF34" i="5"/>
  <c r="CR44" i="5"/>
  <c r="BT36" i="5"/>
  <c r="BZ28" i="5"/>
  <c r="BF24" i="5"/>
  <c r="BX18" i="5"/>
  <c r="CA81" i="5"/>
  <c r="CR74" i="5"/>
  <c r="BW49" i="5"/>
  <c r="BW69" i="5"/>
  <c r="BW50" i="5"/>
  <c r="BW70" i="5"/>
  <c r="BW51" i="5"/>
  <c r="BW71" i="5"/>
  <c r="BW52" i="5"/>
  <c r="BW72" i="5"/>
  <c r="BW46" i="5"/>
  <c r="BW66" i="5"/>
  <c r="BW57" i="5"/>
  <c r="BW68" i="5"/>
  <c r="BW83" i="5"/>
  <c r="BW59" i="5"/>
  <c r="BW74" i="5"/>
  <c r="BW61" i="5"/>
  <c r="BW76" i="5"/>
  <c r="BW48" i="5"/>
  <c r="BW56" i="5"/>
  <c r="BW55" i="5"/>
  <c r="BW3" i="5"/>
  <c r="BW7" i="5"/>
  <c r="BW11" i="5"/>
  <c r="BW75" i="5"/>
  <c r="BW58" i="5"/>
  <c r="BW47" i="5"/>
  <c r="BW80" i="5"/>
  <c r="BW86" i="5"/>
  <c r="BW31" i="5"/>
  <c r="BW45" i="5"/>
  <c r="BW85" i="5"/>
  <c r="BW10" i="5"/>
  <c r="BW30" i="5"/>
  <c r="BW60" i="5"/>
  <c r="BW29" i="5"/>
  <c r="BW17" i="5"/>
  <c r="BW28" i="5"/>
  <c r="BW78" i="5"/>
  <c r="BW79" i="5"/>
  <c r="BW27" i="5"/>
  <c r="BW73" i="5"/>
  <c r="BW64" i="5"/>
  <c r="BW54" i="5"/>
  <c r="BW62" i="5"/>
  <c r="BW15" i="5"/>
  <c r="BW21" i="5"/>
  <c r="BW82" i="5"/>
  <c r="BW14" i="5"/>
  <c r="BW44" i="5"/>
  <c r="BW16" i="5"/>
  <c r="BW32" i="5"/>
  <c r="BW81" i="5"/>
  <c r="BW26" i="5"/>
  <c r="BW67" i="5"/>
  <c r="BW18" i="5"/>
  <c r="BW33" i="5"/>
  <c r="BW39" i="5"/>
  <c r="BW40" i="5"/>
  <c r="BW24" i="5"/>
  <c r="BW42" i="5"/>
  <c r="BW9" i="5"/>
  <c r="BW65" i="5"/>
  <c r="BW84" i="5"/>
  <c r="BW5" i="5"/>
  <c r="BW25" i="5"/>
  <c r="BW12" i="5"/>
  <c r="BW22" i="5"/>
  <c r="BW63" i="5"/>
  <c r="BW43" i="5"/>
  <c r="BW34" i="5"/>
  <c r="BW23" i="5"/>
  <c r="BW37" i="5"/>
  <c r="BW77" i="5"/>
  <c r="BW19" i="5"/>
  <c r="BW20" i="5"/>
  <c r="BW38" i="5"/>
  <c r="BW6" i="5"/>
  <c r="BW41" i="5"/>
  <c r="CQ34" i="5"/>
  <c r="CS47" i="5"/>
  <c r="CS67" i="5"/>
  <c r="CS48" i="5"/>
  <c r="CS68" i="5"/>
  <c r="CS49" i="5"/>
  <c r="CS69" i="5"/>
  <c r="CS50" i="5"/>
  <c r="CS70" i="5"/>
  <c r="CS64" i="5"/>
  <c r="CS84" i="5"/>
  <c r="CS46" i="5"/>
  <c r="CS61" i="5"/>
  <c r="CS76" i="5"/>
  <c r="CS52" i="5"/>
  <c r="CS63" i="5"/>
  <c r="CS78" i="5"/>
  <c r="CS54" i="5"/>
  <c r="CS65" i="5"/>
  <c r="CS60" i="5"/>
  <c r="CS59" i="5"/>
  <c r="CS71" i="5"/>
  <c r="CS77" i="5"/>
  <c r="CS81" i="5"/>
  <c r="CS62" i="5"/>
  <c r="CS51" i="5"/>
  <c r="CS58" i="5"/>
  <c r="CS66" i="5"/>
  <c r="CS53" i="5"/>
  <c r="CS75" i="5"/>
  <c r="CS18" i="5"/>
  <c r="CS45" i="5"/>
  <c r="CS19" i="5"/>
  <c r="CS39" i="5"/>
  <c r="CS20" i="5"/>
  <c r="CS40" i="5"/>
  <c r="CS21" i="5"/>
  <c r="CS41" i="5"/>
  <c r="CS56" i="5"/>
  <c r="CS83" i="5"/>
  <c r="CS22" i="5"/>
  <c r="CS42" i="5"/>
  <c r="CS79" i="5"/>
  <c r="CS82" i="5"/>
  <c r="CS86" i="5"/>
  <c r="CS7" i="5"/>
  <c r="CS32" i="5"/>
  <c r="CS14" i="5"/>
  <c r="CS8" i="5"/>
  <c r="CS33" i="5"/>
  <c r="CS12" i="5"/>
  <c r="CS23" i="5"/>
  <c r="CS57" i="5"/>
  <c r="CS9" i="5"/>
  <c r="CS34" i="5"/>
  <c r="CS10" i="5"/>
  <c r="CS35" i="5"/>
  <c r="CS15" i="5"/>
  <c r="CS72" i="5"/>
  <c r="CS11" i="5"/>
  <c r="CS36" i="5"/>
  <c r="CS43" i="5"/>
  <c r="CS44" i="5"/>
  <c r="CS37" i="5"/>
  <c r="CS13" i="5"/>
  <c r="CS38" i="5"/>
  <c r="CS73" i="5"/>
  <c r="CS16" i="5"/>
  <c r="CS17" i="5"/>
  <c r="CS3" i="5"/>
  <c r="CS55" i="5"/>
  <c r="CS25" i="5"/>
  <c r="CS26" i="5"/>
  <c r="BY47" i="5"/>
  <c r="BY67" i="5"/>
  <c r="BY48" i="5"/>
  <c r="BY68" i="5"/>
  <c r="BY49" i="5"/>
  <c r="BY69" i="5"/>
  <c r="BY50" i="5"/>
  <c r="BY70" i="5"/>
  <c r="BY64" i="5"/>
  <c r="BY84" i="5"/>
  <c r="BY55" i="5"/>
  <c r="BY66" i="5"/>
  <c r="BY81" i="5"/>
  <c r="BY57" i="5"/>
  <c r="BY72" i="5"/>
  <c r="BY59" i="5"/>
  <c r="BY74" i="5"/>
  <c r="BY46" i="5"/>
  <c r="BY53" i="5"/>
  <c r="BY13" i="5"/>
  <c r="BY80" i="5"/>
  <c r="BY12" i="5"/>
  <c r="BY56" i="5"/>
  <c r="BY83" i="5"/>
  <c r="BY3" i="5"/>
  <c r="BY7" i="5"/>
  <c r="BY11" i="5"/>
  <c r="BY75" i="5"/>
  <c r="BY65" i="5"/>
  <c r="BY82" i="5"/>
  <c r="BY32" i="5"/>
  <c r="BY45" i="5"/>
  <c r="BY52" i="5"/>
  <c r="BY85" i="5"/>
  <c r="BY86" i="5"/>
  <c r="BY31" i="5"/>
  <c r="BY10" i="5"/>
  <c r="BY30" i="5"/>
  <c r="BY60" i="5"/>
  <c r="BY29" i="5"/>
  <c r="BY58" i="5"/>
  <c r="BY20" i="5"/>
  <c r="BY23" i="5"/>
  <c r="BY79" i="5"/>
  <c r="BY54" i="5"/>
  <c r="BY62" i="5"/>
  <c r="BY15" i="5"/>
  <c r="BY21" i="5"/>
  <c r="BY14" i="5"/>
  <c r="BY76" i="5"/>
  <c r="BY17" i="5"/>
  <c r="BY28" i="5"/>
  <c r="BY63" i="5"/>
  <c r="BY73" i="5"/>
  <c r="BY61" i="5"/>
  <c r="BY18" i="5"/>
  <c r="BY26" i="5"/>
  <c r="BY34" i="5"/>
  <c r="BY36" i="5"/>
  <c r="BY27" i="5"/>
  <c r="BY33" i="5"/>
  <c r="BY39" i="5"/>
  <c r="BY44" i="5"/>
  <c r="BY24" i="5"/>
  <c r="BY42" i="5"/>
  <c r="BY37" i="5"/>
  <c r="BY5" i="5"/>
  <c r="BY25" i="5"/>
  <c r="BY51" i="5"/>
  <c r="BY22" i="5"/>
  <c r="BY9" i="5"/>
  <c r="BY40" i="5"/>
  <c r="BY16" i="5"/>
  <c r="BY43" i="5"/>
  <c r="BY71" i="5"/>
  <c r="BY4" i="5"/>
  <c r="BY35" i="5"/>
  <c r="BE47" i="5"/>
  <c r="BE67" i="5"/>
  <c r="BE48" i="5"/>
  <c r="BE68" i="5"/>
  <c r="BE49" i="5"/>
  <c r="BE69" i="5"/>
  <c r="BE50" i="5"/>
  <c r="BE70" i="5"/>
  <c r="BE64" i="5"/>
  <c r="BE84" i="5"/>
  <c r="BE45" i="5"/>
  <c r="BE60" i="5"/>
  <c r="BE75" i="5"/>
  <c r="BE51" i="5"/>
  <c r="BE62" i="5"/>
  <c r="BE77" i="5"/>
  <c r="BE53" i="5"/>
  <c r="BE79" i="5"/>
  <c r="BE55" i="5"/>
  <c r="BE66" i="5"/>
  <c r="BE61" i="5"/>
  <c r="BE71" i="5"/>
  <c r="BE72" i="5"/>
  <c r="BE78" i="5"/>
  <c r="BE82" i="5"/>
  <c r="BE63" i="5"/>
  <c r="BE59" i="5"/>
  <c r="BE54" i="5"/>
  <c r="BE76" i="5"/>
  <c r="BE46" i="5"/>
  <c r="BE20" i="5"/>
  <c r="BE65" i="5"/>
  <c r="BE57" i="5"/>
  <c r="BE73" i="5"/>
  <c r="BE86" i="5"/>
  <c r="BE15" i="5"/>
  <c r="BE36" i="5"/>
  <c r="BE6" i="5"/>
  <c r="BE16" i="5"/>
  <c r="BE37" i="5"/>
  <c r="BE21" i="5"/>
  <c r="BE43" i="5"/>
  <c r="BE17" i="5"/>
  <c r="BE38" i="5"/>
  <c r="BE80" i="5"/>
  <c r="BE23" i="5"/>
  <c r="BE58" i="5"/>
  <c r="BE18" i="5"/>
  <c r="BE39" i="5"/>
  <c r="BE27" i="5"/>
  <c r="BE19" i="5"/>
  <c r="BE40" i="5"/>
  <c r="BE41" i="5"/>
  <c r="BE24" i="5"/>
  <c r="BE85" i="5"/>
  <c r="BE22" i="5"/>
  <c r="BE42" i="5"/>
  <c r="BE44" i="5"/>
  <c r="BE52" i="5"/>
  <c r="BE83" i="5"/>
  <c r="BE4" i="5"/>
  <c r="BE25" i="5"/>
  <c r="BE3" i="5"/>
  <c r="BE5" i="5"/>
  <c r="BE26" i="5"/>
  <c r="BE8" i="5"/>
  <c r="BE29" i="5"/>
  <c r="BE56" i="5"/>
  <c r="BE9" i="5"/>
  <c r="BE30" i="5"/>
  <c r="BE33" i="5"/>
  <c r="BW53" i="5"/>
  <c r="CR48" i="5"/>
  <c r="CR68" i="5"/>
  <c r="CR49" i="5"/>
  <c r="CR69" i="5"/>
  <c r="CR50" i="5"/>
  <c r="CR70" i="5"/>
  <c r="CR51" i="5"/>
  <c r="CR71" i="5"/>
  <c r="CR45" i="5"/>
  <c r="CR65" i="5"/>
  <c r="CR85" i="5"/>
  <c r="CR61" i="5"/>
  <c r="CR76" i="5"/>
  <c r="CR52" i="5"/>
  <c r="CR63" i="5"/>
  <c r="CR78" i="5"/>
  <c r="CR54" i="5"/>
  <c r="CR56" i="5"/>
  <c r="CR47" i="5"/>
  <c r="CR59" i="5"/>
  <c r="CR12" i="5"/>
  <c r="CR46" i="5"/>
  <c r="CR77" i="5"/>
  <c r="CR81" i="5"/>
  <c r="CR3" i="5"/>
  <c r="CR7" i="5"/>
  <c r="CR11" i="5"/>
  <c r="CR62" i="5"/>
  <c r="CR84" i="5"/>
  <c r="CR58" i="5"/>
  <c r="CR4" i="5"/>
  <c r="CR66" i="5"/>
  <c r="CR15" i="5"/>
  <c r="CR31" i="5"/>
  <c r="CR30" i="5"/>
  <c r="CR53" i="5"/>
  <c r="CR13" i="5"/>
  <c r="CR19" i="5"/>
  <c r="CR29" i="5"/>
  <c r="CR28" i="5"/>
  <c r="CR75" i="5"/>
  <c r="CR17" i="5"/>
  <c r="CR18" i="5"/>
  <c r="CR26" i="5"/>
  <c r="CR32" i="5"/>
  <c r="CR64" i="5"/>
  <c r="CR83" i="5"/>
  <c r="CR24" i="5"/>
  <c r="CR79" i="5"/>
  <c r="CR82" i="5"/>
  <c r="CR60" i="5"/>
  <c r="CR5" i="5"/>
  <c r="CR6" i="5"/>
  <c r="CR8" i="5"/>
  <c r="CR9" i="5"/>
  <c r="CR10" i="5"/>
  <c r="CR22" i="5"/>
  <c r="CR34" i="5"/>
  <c r="CR57" i="5"/>
  <c r="CR16" i="5"/>
  <c r="CR37" i="5"/>
  <c r="CR35" i="5"/>
  <c r="CR55" i="5"/>
  <c r="CR40" i="5"/>
  <c r="CR72" i="5"/>
  <c r="CR86" i="5"/>
  <c r="CR43" i="5"/>
  <c r="CR38" i="5"/>
  <c r="CR27" i="5"/>
  <c r="CR41" i="5"/>
  <c r="CR73" i="5"/>
  <c r="CR33" i="5"/>
  <c r="CR14" i="5"/>
  <c r="CR36" i="5"/>
  <c r="BX48" i="5"/>
  <c r="BX68" i="5"/>
  <c r="BX49" i="5"/>
  <c r="BX69" i="5"/>
  <c r="BX50" i="5"/>
  <c r="BX70" i="5"/>
  <c r="BX51" i="5"/>
  <c r="BX71" i="5"/>
  <c r="BX45" i="5"/>
  <c r="BX65" i="5"/>
  <c r="BX85" i="5"/>
  <c r="BX57" i="5"/>
  <c r="BX72" i="5"/>
  <c r="BX83" i="5"/>
  <c r="BX59" i="5"/>
  <c r="BX74" i="5"/>
  <c r="BX46" i="5"/>
  <c r="BX61" i="5"/>
  <c r="BX67" i="5"/>
  <c r="BX80" i="5"/>
  <c r="BX12" i="5"/>
  <c r="BX66" i="5"/>
  <c r="BX56" i="5"/>
  <c r="BX55" i="5"/>
  <c r="BX3" i="5"/>
  <c r="BX7" i="5"/>
  <c r="BX11" i="5"/>
  <c r="BX75" i="5"/>
  <c r="BX76" i="5"/>
  <c r="BX53" i="5"/>
  <c r="BX84" i="5"/>
  <c r="BX32" i="5"/>
  <c r="BX52" i="5"/>
  <c r="BX86" i="5"/>
  <c r="BX31" i="5"/>
  <c r="BX10" i="5"/>
  <c r="BX30" i="5"/>
  <c r="BX60" i="5"/>
  <c r="BX29" i="5"/>
  <c r="BX17" i="5"/>
  <c r="BX28" i="5"/>
  <c r="BX78" i="5"/>
  <c r="BX79" i="5"/>
  <c r="BX64" i="5"/>
  <c r="BX23" i="5"/>
  <c r="BX54" i="5"/>
  <c r="BX62" i="5"/>
  <c r="BX15" i="5"/>
  <c r="BX21" i="5"/>
  <c r="BX82" i="5"/>
  <c r="BX14" i="5"/>
  <c r="BX16" i="5"/>
  <c r="BX47" i="5"/>
  <c r="BX36" i="5"/>
  <c r="BX27" i="5"/>
  <c r="BX33" i="5"/>
  <c r="BX39" i="5"/>
  <c r="BX44" i="5"/>
  <c r="BX40" i="5"/>
  <c r="BX24" i="5"/>
  <c r="BX73" i="5"/>
  <c r="BX37" i="5"/>
  <c r="BX42" i="5"/>
  <c r="BX5" i="5"/>
  <c r="BX25" i="5"/>
  <c r="BX58" i="5"/>
  <c r="BX22" i="5"/>
  <c r="BX34" i="5"/>
  <c r="BX9" i="5"/>
  <c r="BX63" i="5"/>
  <c r="BX4" i="5"/>
  <c r="BX35" i="5"/>
  <c r="BX77" i="5"/>
  <c r="BX19" i="5"/>
  <c r="BX20" i="5"/>
  <c r="BX38" i="5"/>
  <c r="BE32" i="5"/>
  <c r="BE81" i="5"/>
  <c r="BG57" i="5"/>
  <c r="CP50" i="5"/>
  <c r="CP70" i="5"/>
  <c r="CP51" i="5"/>
  <c r="CP71" i="5"/>
  <c r="CP52" i="5"/>
  <c r="CP72" i="5"/>
  <c r="CP53" i="5"/>
  <c r="CP73" i="5"/>
  <c r="CP47" i="5"/>
  <c r="CP67" i="5"/>
  <c r="CP63" i="5"/>
  <c r="CP78" i="5"/>
  <c r="CP54" i="5"/>
  <c r="CP65" i="5"/>
  <c r="CP80" i="5"/>
  <c r="CP56" i="5"/>
  <c r="CP58" i="5"/>
  <c r="CP46" i="5"/>
  <c r="CP62" i="5"/>
  <c r="CP49" i="5"/>
  <c r="CP61" i="5"/>
  <c r="CP84" i="5"/>
  <c r="CP48" i="5"/>
  <c r="CP86" i="5"/>
  <c r="CP6" i="5"/>
  <c r="CP10" i="5"/>
  <c r="CP64" i="5"/>
  <c r="CP66" i="5"/>
  <c r="CP30" i="5"/>
  <c r="CP13" i="5"/>
  <c r="CP19" i="5"/>
  <c r="CP29" i="5"/>
  <c r="CP28" i="5"/>
  <c r="CP75" i="5"/>
  <c r="CP76" i="5"/>
  <c r="CP5" i="5"/>
  <c r="CP8" i="5"/>
  <c r="CP11" i="5"/>
  <c r="CP27" i="5"/>
  <c r="CP26" i="5"/>
  <c r="CP57" i="5"/>
  <c r="CP82" i="5"/>
  <c r="CP45" i="5"/>
  <c r="CP18" i="5"/>
  <c r="CP32" i="5"/>
  <c r="CP83" i="5"/>
  <c r="CP24" i="5"/>
  <c r="CP79" i="5"/>
  <c r="CP44" i="5"/>
  <c r="CP60" i="5"/>
  <c r="CP9" i="5"/>
  <c r="CP22" i="5"/>
  <c r="CP43" i="5"/>
  <c r="CP68" i="5"/>
  <c r="CP77" i="5"/>
  <c r="CP41" i="5"/>
  <c r="CP3" i="5"/>
  <c r="CP4" i="5"/>
  <c r="CP7" i="5"/>
  <c r="CP69" i="5"/>
  <c r="BV50" i="5"/>
  <c r="BV70" i="5"/>
  <c r="BV51" i="5"/>
  <c r="BV71" i="5"/>
  <c r="BV52" i="5"/>
  <c r="BV72" i="5"/>
  <c r="BV53" i="5"/>
  <c r="BV73" i="5"/>
  <c r="BV47" i="5"/>
  <c r="BV67" i="5"/>
  <c r="BV59" i="5"/>
  <c r="BV74" i="5"/>
  <c r="BV85" i="5"/>
  <c r="BV46" i="5"/>
  <c r="BV61" i="5"/>
  <c r="BV76" i="5"/>
  <c r="BV48" i="5"/>
  <c r="BV63" i="5"/>
  <c r="BV56" i="5"/>
  <c r="BV66" i="5"/>
  <c r="BV55" i="5"/>
  <c r="BV3" i="5"/>
  <c r="BV7" i="5"/>
  <c r="BV11" i="5"/>
  <c r="BV75" i="5"/>
  <c r="BV83" i="5"/>
  <c r="BV58" i="5"/>
  <c r="BV68" i="5"/>
  <c r="BV57" i="5"/>
  <c r="BV69" i="5"/>
  <c r="BV45" i="5"/>
  <c r="BV10" i="5"/>
  <c r="BV30" i="5"/>
  <c r="BV60" i="5"/>
  <c r="BV29" i="5"/>
  <c r="BV17" i="5"/>
  <c r="BV28" i="5"/>
  <c r="BV78" i="5"/>
  <c r="BV79" i="5"/>
  <c r="BV27" i="5"/>
  <c r="BV15" i="5"/>
  <c r="BV19" i="5"/>
  <c r="BV26" i="5"/>
  <c r="BV64" i="5"/>
  <c r="BV54" i="5"/>
  <c r="BV62" i="5"/>
  <c r="BV21" i="5"/>
  <c r="BV82" i="5"/>
  <c r="BV14" i="5"/>
  <c r="BV44" i="5"/>
  <c r="BV16" i="5"/>
  <c r="BV32" i="5"/>
  <c r="BV43" i="5"/>
  <c r="BV81" i="5"/>
  <c r="BV41" i="5"/>
  <c r="BV13" i="5"/>
  <c r="CJ67" i="5"/>
  <c r="CO51" i="5"/>
  <c r="CO71" i="5"/>
  <c r="CO52" i="5"/>
  <c r="CO72" i="5"/>
  <c r="CO53" i="5"/>
  <c r="CO73" i="5"/>
  <c r="CO54" i="5"/>
  <c r="CO74" i="5"/>
  <c r="CO48" i="5"/>
  <c r="CO68" i="5"/>
  <c r="CO50" i="5"/>
  <c r="CO65" i="5"/>
  <c r="CO80" i="5"/>
  <c r="CO56" i="5"/>
  <c r="CO67" i="5"/>
  <c r="CO58" i="5"/>
  <c r="CO69" i="5"/>
  <c r="CO62" i="5"/>
  <c r="CO70" i="5"/>
  <c r="CO49" i="5"/>
  <c r="CO61" i="5"/>
  <c r="CO84" i="5"/>
  <c r="CO86" i="5"/>
  <c r="CO6" i="5"/>
  <c r="CO10" i="5"/>
  <c r="CO64" i="5"/>
  <c r="CO78" i="5"/>
  <c r="CO63" i="5"/>
  <c r="CO79" i="5"/>
  <c r="CO13" i="5"/>
  <c r="CO19" i="5"/>
  <c r="CO29" i="5"/>
  <c r="CO28" i="5"/>
  <c r="CO75" i="5"/>
  <c r="CO76" i="5"/>
  <c r="CO5" i="5"/>
  <c r="CO8" i="5"/>
  <c r="CO11" i="5"/>
  <c r="CO27" i="5"/>
  <c r="CO26" i="5"/>
  <c r="CO46" i="5"/>
  <c r="CO57" i="5"/>
  <c r="CO82" i="5"/>
  <c r="CO25" i="5"/>
  <c r="CO45" i="5"/>
  <c r="CO47" i="5"/>
  <c r="CO83" i="5"/>
  <c r="CO30" i="5"/>
  <c r="CO24" i="5"/>
  <c r="CO44" i="5"/>
  <c r="CO60" i="5"/>
  <c r="CO9" i="5"/>
  <c r="CO22" i="5"/>
  <c r="CO43" i="5"/>
  <c r="CO42" i="5"/>
  <c r="CO66" i="5"/>
  <c r="CO77" i="5"/>
  <c r="CO40" i="5"/>
  <c r="CO85" i="5"/>
  <c r="BU51" i="5"/>
  <c r="BU71" i="5"/>
  <c r="BU52" i="5"/>
  <c r="BU72" i="5"/>
  <c r="BU53" i="5"/>
  <c r="BU73" i="5"/>
  <c r="BU54" i="5"/>
  <c r="BU74" i="5"/>
  <c r="BU48" i="5"/>
  <c r="BU68" i="5"/>
  <c r="BU59" i="5"/>
  <c r="BU70" i="5"/>
  <c r="BU85" i="5"/>
  <c r="BU46" i="5"/>
  <c r="BU61" i="5"/>
  <c r="BU76" i="5"/>
  <c r="BU63" i="5"/>
  <c r="BU78" i="5"/>
  <c r="BU50" i="5"/>
  <c r="BU55" i="5"/>
  <c r="BU3" i="5"/>
  <c r="BU7" i="5"/>
  <c r="BU11" i="5"/>
  <c r="BU75" i="5"/>
  <c r="BU83" i="5"/>
  <c r="BU58" i="5"/>
  <c r="BU57" i="5"/>
  <c r="BU69" i="5"/>
  <c r="BU86" i="5"/>
  <c r="BU45" i="5"/>
  <c r="BU81" i="5"/>
  <c r="BU60" i="5"/>
  <c r="BU29" i="5"/>
  <c r="BU17" i="5"/>
  <c r="BU28" i="5"/>
  <c r="BU56" i="5"/>
  <c r="BU79" i="5"/>
  <c r="BU27" i="5"/>
  <c r="BU15" i="5"/>
  <c r="BU19" i="5"/>
  <c r="BU26" i="5"/>
  <c r="BU64" i="5"/>
  <c r="BU4" i="5"/>
  <c r="BU25" i="5"/>
  <c r="BU82" i="5"/>
  <c r="BU14" i="5"/>
  <c r="BU66" i="5"/>
  <c r="BU44" i="5"/>
  <c r="BU16" i="5"/>
  <c r="BU32" i="5"/>
  <c r="BU43" i="5"/>
  <c r="BU42" i="5"/>
  <c r="BU30" i="5"/>
  <c r="BU24" i="5"/>
  <c r="BU40" i="5"/>
  <c r="BU84" i="5"/>
  <c r="CJ44" i="5"/>
  <c r="BU41" i="5"/>
  <c r="CP39" i="5"/>
  <c r="BP36" i="5"/>
  <c r="BP33" i="5"/>
  <c r="BO32" i="5"/>
  <c r="BL30" i="5"/>
  <c r="BN29" i="5"/>
  <c r="BI28" i="5"/>
  <c r="BK27" i="5"/>
  <c r="BH25" i="5"/>
  <c r="CP23" i="5"/>
  <c r="CF22" i="5"/>
  <c r="CM21" i="5"/>
  <c r="BU13" i="5"/>
  <c r="BK12" i="5"/>
  <c r="BJ10" i="5"/>
  <c r="BV6" i="5"/>
  <c r="CP85" i="5"/>
  <c r="BO83" i="5"/>
  <c r="BV80" i="5"/>
  <c r="BS71" i="5"/>
  <c r="CI67" i="5"/>
  <c r="CI63" i="5"/>
  <c r="BJ53" i="5"/>
  <c r="BP49" i="5"/>
  <c r="CL54" i="5"/>
  <c r="CL74" i="5"/>
  <c r="CL55" i="5"/>
  <c r="CL75" i="5"/>
  <c r="CL56" i="5"/>
  <c r="CL76" i="5"/>
  <c r="CL57" i="5"/>
  <c r="CL77" i="5"/>
  <c r="CL51" i="5"/>
  <c r="CL71" i="5"/>
  <c r="CL67" i="5"/>
  <c r="CL58" i="5"/>
  <c r="CL69" i="5"/>
  <c r="CL84" i="5"/>
  <c r="CL45" i="5"/>
  <c r="CL60" i="5"/>
  <c r="CL47" i="5"/>
  <c r="CL62" i="5"/>
  <c r="CL48" i="5"/>
  <c r="CL6" i="5"/>
  <c r="CL10" i="5"/>
  <c r="CL64" i="5"/>
  <c r="CL78" i="5"/>
  <c r="CL63" i="5"/>
  <c r="CL79" i="5"/>
  <c r="CL50" i="5"/>
  <c r="CL72" i="5"/>
  <c r="CL82" i="5"/>
  <c r="CL66" i="5"/>
  <c r="CL73" i="5"/>
  <c r="CL26" i="5"/>
  <c r="CL46" i="5"/>
  <c r="CL53" i="5"/>
  <c r="CL25" i="5"/>
  <c r="CL24" i="5"/>
  <c r="CL65" i="5"/>
  <c r="CL23" i="5"/>
  <c r="CL49" i="5"/>
  <c r="CL80" i="5"/>
  <c r="CL81" i="5"/>
  <c r="CL9" i="5"/>
  <c r="CL16" i="5"/>
  <c r="CL22" i="5"/>
  <c r="CL61" i="5"/>
  <c r="CL70" i="5"/>
  <c r="CL83" i="5"/>
  <c r="CL43" i="5"/>
  <c r="CL42" i="5"/>
  <c r="CL68" i="5"/>
  <c r="CL41" i="5"/>
  <c r="CL19" i="5"/>
  <c r="CL40" i="5"/>
  <c r="CL52" i="5"/>
  <c r="CL12" i="5"/>
  <c r="CL39" i="5"/>
  <c r="CL3" i="5"/>
  <c r="CL4" i="5"/>
  <c r="CL5" i="5"/>
  <c r="CL7" i="5"/>
  <c r="CL8" i="5"/>
  <c r="CL11" i="5"/>
  <c r="CL20" i="5"/>
  <c r="CL85" i="5"/>
  <c r="CL31" i="5"/>
  <c r="CL37" i="5"/>
  <c r="BR54" i="5"/>
  <c r="BR74" i="5"/>
  <c r="BR55" i="5"/>
  <c r="BR75" i="5"/>
  <c r="BR56" i="5"/>
  <c r="BR76" i="5"/>
  <c r="BR57" i="5"/>
  <c r="BR77" i="5"/>
  <c r="BR51" i="5"/>
  <c r="BR71" i="5"/>
  <c r="BR48" i="5"/>
  <c r="BR63" i="5"/>
  <c r="BR78" i="5"/>
  <c r="BR50" i="5"/>
  <c r="BR65" i="5"/>
  <c r="BR80" i="5"/>
  <c r="BR52" i="5"/>
  <c r="BR67" i="5"/>
  <c r="BR58" i="5"/>
  <c r="BR68" i="5"/>
  <c r="BR86" i="5"/>
  <c r="BR45" i="5"/>
  <c r="BR69" i="5"/>
  <c r="BR81" i="5"/>
  <c r="BR6" i="5"/>
  <c r="BR10" i="5"/>
  <c r="BR21" i="5"/>
  <c r="BR60" i="5"/>
  <c r="BR59" i="5"/>
  <c r="BR15" i="5"/>
  <c r="BR19" i="5"/>
  <c r="BR26" i="5"/>
  <c r="BR64" i="5"/>
  <c r="BR4" i="5"/>
  <c r="BR7" i="5"/>
  <c r="BR25" i="5"/>
  <c r="BR13" i="5"/>
  <c r="BR24" i="5"/>
  <c r="BR23" i="5"/>
  <c r="BR73" i="5"/>
  <c r="BR22" i="5"/>
  <c r="BR47" i="5"/>
  <c r="BR46" i="5"/>
  <c r="BR70" i="5"/>
  <c r="BR16" i="5"/>
  <c r="BR32" i="5"/>
  <c r="BR43" i="5"/>
  <c r="BR72" i="5"/>
  <c r="BR79" i="5"/>
  <c r="BR42" i="5"/>
  <c r="BR30" i="5"/>
  <c r="BR41" i="5"/>
  <c r="BR40" i="5"/>
  <c r="BR85" i="5"/>
  <c r="BR17" i="5"/>
  <c r="BR18" i="5"/>
  <c r="BR28" i="5"/>
  <c r="BR39" i="5"/>
  <c r="BR84" i="5"/>
  <c r="BR37" i="5"/>
  <c r="CL28" i="5"/>
  <c r="CP25" i="5"/>
  <c r="CM14" i="5"/>
  <c r="BP4" i="5"/>
  <c r="BP70" i="5"/>
  <c r="CP55" i="5"/>
  <c r="CK55" i="5"/>
  <c r="CK75" i="5"/>
  <c r="CK56" i="5"/>
  <c r="CK76" i="5"/>
  <c r="CK57" i="5"/>
  <c r="CK77" i="5"/>
  <c r="CK58" i="5"/>
  <c r="CK78" i="5"/>
  <c r="CK52" i="5"/>
  <c r="CK72" i="5"/>
  <c r="CK54" i="5"/>
  <c r="CK69" i="5"/>
  <c r="CK84" i="5"/>
  <c r="CK45" i="5"/>
  <c r="CK60" i="5"/>
  <c r="CK71" i="5"/>
  <c r="CK47" i="5"/>
  <c r="CK62" i="5"/>
  <c r="CK73" i="5"/>
  <c r="CK64" i="5"/>
  <c r="CK63" i="5"/>
  <c r="CK79" i="5"/>
  <c r="CK51" i="5"/>
  <c r="CK50" i="5"/>
  <c r="CK82" i="5"/>
  <c r="CK20" i="5"/>
  <c r="CK66" i="5"/>
  <c r="CK5" i="5"/>
  <c r="CK9" i="5"/>
  <c r="CK53" i="5"/>
  <c r="CK65" i="5"/>
  <c r="CK46" i="5"/>
  <c r="CK25" i="5"/>
  <c r="CK24" i="5"/>
  <c r="CK23" i="5"/>
  <c r="CK49" i="5"/>
  <c r="CK80" i="5"/>
  <c r="CK81" i="5"/>
  <c r="CK16" i="5"/>
  <c r="CK22" i="5"/>
  <c r="CK61" i="5"/>
  <c r="CK70" i="5"/>
  <c r="CK83" i="5"/>
  <c r="CK18" i="5"/>
  <c r="CK21" i="5"/>
  <c r="CK85" i="5"/>
  <c r="CK26" i="5"/>
  <c r="CK42" i="5"/>
  <c r="CK68" i="5"/>
  <c r="CK41" i="5"/>
  <c r="CK19" i="5"/>
  <c r="CK40" i="5"/>
  <c r="CK12" i="5"/>
  <c r="CK39" i="5"/>
  <c r="CK3" i="5"/>
  <c r="CK4" i="5"/>
  <c r="CK6" i="5"/>
  <c r="CK7" i="5"/>
  <c r="CK8" i="5"/>
  <c r="CK10" i="5"/>
  <c r="CK11" i="5"/>
  <c r="CK38" i="5"/>
  <c r="CK31" i="5"/>
  <c r="CK86" i="5"/>
  <c r="CK14" i="5"/>
  <c r="CK36" i="5"/>
  <c r="CK59" i="5"/>
  <c r="CK67" i="5"/>
  <c r="BQ55" i="5"/>
  <c r="BQ75" i="5"/>
  <c r="BQ56" i="5"/>
  <c r="BQ76" i="5"/>
  <c r="BQ57" i="5"/>
  <c r="BQ77" i="5"/>
  <c r="BQ58" i="5"/>
  <c r="BQ78" i="5"/>
  <c r="BQ52" i="5"/>
  <c r="BQ72" i="5"/>
  <c r="BQ48" i="5"/>
  <c r="BQ63" i="5"/>
  <c r="BQ74" i="5"/>
  <c r="BQ50" i="5"/>
  <c r="BQ65" i="5"/>
  <c r="BQ80" i="5"/>
  <c r="BQ67" i="5"/>
  <c r="BQ54" i="5"/>
  <c r="BQ68" i="5"/>
  <c r="BQ86" i="5"/>
  <c r="BQ45" i="5"/>
  <c r="BQ69" i="5"/>
  <c r="BQ81" i="5"/>
  <c r="BQ6" i="5"/>
  <c r="BQ10" i="5"/>
  <c r="BQ21" i="5"/>
  <c r="BQ60" i="5"/>
  <c r="BQ20" i="5"/>
  <c r="BQ59" i="5"/>
  <c r="BQ84" i="5"/>
  <c r="BQ47" i="5"/>
  <c r="BQ64" i="5"/>
  <c r="BQ4" i="5"/>
  <c r="BQ7" i="5"/>
  <c r="BQ25" i="5"/>
  <c r="BQ13" i="5"/>
  <c r="BQ24" i="5"/>
  <c r="BQ23" i="5"/>
  <c r="BQ73" i="5"/>
  <c r="BQ22" i="5"/>
  <c r="BQ51" i="5"/>
  <c r="BQ79" i="5"/>
  <c r="BQ15" i="5"/>
  <c r="BQ42" i="5"/>
  <c r="BQ30" i="5"/>
  <c r="BQ41" i="5"/>
  <c r="BQ40" i="5"/>
  <c r="BQ85" i="5"/>
  <c r="BQ17" i="5"/>
  <c r="BQ18" i="5"/>
  <c r="BQ28" i="5"/>
  <c r="BQ39" i="5"/>
  <c r="BQ46" i="5"/>
  <c r="BQ38" i="5"/>
  <c r="BQ26" i="5"/>
  <c r="BQ36" i="5"/>
  <c r="BQ61" i="5"/>
  <c r="BQ53" i="5"/>
  <c r="BR38" i="5"/>
  <c r="CM36" i="5"/>
  <c r="CK28" i="5"/>
  <c r="CJ25" i="5"/>
  <c r="CE24" i="5"/>
  <c r="CG23" i="5"/>
  <c r="CB22" i="5"/>
  <c r="CD21" i="5"/>
  <c r="BS20" i="5"/>
  <c r="BJ19" i="5"/>
  <c r="CJ17" i="5"/>
  <c r="CL14" i="5"/>
  <c r="BL13" i="5"/>
  <c r="CO7" i="5"/>
  <c r="BL6" i="5"/>
  <c r="BO4" i="5"/>
  <c r="BL85" i="5"/>
  <c r="BH80" i="5"/>
  <c r="BI70" i="5"/>
  <c r="BR66" i="5"/>
  <c r="CE59" i="5"/>
  <c r="CO55" i="5"/>
  <c r="CM53" i="5"/>
  <c r="CM73" i="5"/>
  <c r="CM54" i="5"/>
  <c r="CM74" i="5"/>
  <c r="CM55" i="5"/>
  <c r="CM75" i="5"/>
  <c r="CM56" i="5"/>
  <c r="CM76" i="5"/>
  <c r="CM50" i="5"/>
  <c r="CM70" i="5"/>
  <c r="CM52" i="5"/>
  <c r="CM67" i="5"/>
  <c r="CM82" i="5"/>
  <c r="CM58" i="5"/>
  <c r="CM69" i="5"/>
  <c r="CM45" i="5"/>
  <c r="CM60" i="5"/>
  <c r="CM71" i="5"/>
  <c r="CM49" i="5"/>
  <c r="CM86" i="5"/>
  <c r="CM48" i="5"/>
  <c r="CM6" i="5"/>
  <c r="CM10" i="5"/>
  <c r="CM64" i="5"/>
  <c r="CM78" i="5"/>
  <c r="CM51" i="5"/>
  <c r="CM63" i="5"/>
  <c r="CM79" i="5"/>
  <c r="CM72" i="5"/>
  <c r="CM5" i="5"/>
  <c r="CM8" i="5"/>
  <c r="CM11" i="5"/>
  <c r="CM27" i="5"/>
  <c r="CM26" i="5"/>
  <c r="CM46" i="5"/>
  <c r="CM57" i="5"/>
  <c r="CM25" i="5"/>
  <c r="CM24" i="5"/>
  <c r="CM65" i="5"/>
  <c r="CM23" i="5"/>
  <c r="CM80" i="5"/>
  <c r="CM81" i="5"/>
  <c r="CM61" i="5"/>
  <c r="CM28" i="5"/>
  <c r="CM44" i="5"/>
  <c r="CM9" i="5"/>
  <c r="CM22" i="5"/>
  <c r="CM43" i="5"/>
  <c r="CM42" i="5"/>
  <c r="CM66" i="5"/>
  <c r="CM68" i="5"/>
  <c r="CM77" i="5"/>
  <c r="CM41" i="5"/>
  <c r="CM19" i="5"/>
  <c r="CM40" i="5"/>
  <c r="CM12" i="5"/>
  <c r="CM62" i="5"/>
  <c r="CM3" i="5"/>
  <c r="CM4" i="5"/>
  <c r="CM7" i="5"/>
  <c r="CM20" i="5"/>
  <c r="CM38" i="5"/>
  <c r="CM13" i="5"/>
  <c r="CM39" i="5"/>
  <c r="BP56" i="5"/>
  <c r="BP76" i="5"/>
  <c r="BP57" i="5"/>
  <c r="BP77" i="5"/>
  <c r="BP58" i="5"/>
  <c r="BP78" i="5"/>
  <c r="BP59" i="5"/>
  <c r="BP79" i="5"/>
  <c r="BP53" i="5"/>
  <c r="BP73" i="5"/>
  <c r="BP50" i="5"/>
  <c r="BP65" i="5"/>
  <c r="BP80" i="5"/>
  <c r="BP52" i="5"/>
  <c r="BP67" i="5"/>
  <c r="BP54" i="5"/>
  <c r="BP45" i="5"/>
  <c r="BP69" i="5"/>
  <c r="BP75" i="5"/>
  <c r="BP81" i="5"/>
  <c r="BP6" i="5"/>
  <c r="BP10" i="5"/>
  <c r="BP21" i="5"/>
  <c r="BP60" i="5"/>
  <c r="BP20" i="5"/>
  <c r="BP84" i="5"/>
  <c r="BP47" i="5"/>
  <c r="BP46" i="5"/>
  <c r="BP13" i="5"/>
  <c r="BP24" i="5"/>
  <c r="BP48" i="5"/>
  <c r="BP23" i="5"/>
  <c r="BP74" i="5"/>
  <c r="BP22" i="5"/>
  <c r="BP68" i="5"/>
  <c r="BP5" i="5"/>
  <c r="BP8" i="5"/>
  <c r="BP11" i="5"/>
  <c r="BP51" i="5"/>
  <c r="BP63" i="5"/>
  <c r="BP72" i="5"/>
  <c r="BP30" i="5"/>
  <c r="BP41" i="5"/>
  <c r="BP40" i="5"/>
  <c r="BP85" i="5"/>
  <c r="BP17" i="5"/>
  <c r="BP18" i="5"/>
  <c r="BP28" i="5"/>
  <c r="BP39" i="5"/>
  <c r="BP38" i="5"/>
  <c r="BP26" i="5"/>
  <c r="BP37" i="5"/>
  <c r="BP71" i="5"/>
  <c r="BP35" i="5"/>
  <c r="BP83" i="5"/>
  <c r="BR20" i="5"/>
  <c r="CP15" i="5"/>
  <c r="CJ36" i="5"/>
  <c r="CH58" i="5"/>
  <c r="CH78" i="5"/>
  <c r="CH59" i="5"/>
  <c r="CH79" i="5"/>
  <c r="CH60" i="5"/>
  <c r="CH80" i="5"/>
  <c r="CH61" i="5"/>
  <c r="CH81" i="5"/>
  <c r="CH55" i="5"/>
  <c r="CH75" i="5"/>
  <c r="CH71" i="5"/>
  <c r="CH47" i="5"/>
  <c r="CH62" i="5"/>
  <c r="CH11" i="5"/>
  <c r="CH73" i="5"/>
  <c r="CH10" i="5"/>
  <c r="CH49" i="5"/>
  <c r="CH64" i="5"/>
  <c r="CH51" i="5"/>
  <c r="CH66" i="5"/>
  <c r="CH50" i="5"/>
  <c r="CH82" i="5"/>
  <c r="CH72" i="5"/>
  <c r="CH5" i="5"/>
  <c r="CH9" i="5"/>
  <c r="CH65" i="5"/>
  <c r="CH19" i="5"/>
  <c r="CH53" i="5"/>
  <c r="CH85" i="5"/>
  <c r="CH52" i="5"/>
  <c r="CH16" i="5"/>
  <c r="CH22" i="5"/>
  <c r="CH57" i="5"/>
  <c r="CH70" i="5"/>
  <c r="CH83" i="5"/>
  <c r="CH18" i="5"/>
  <c r="CH21" i="5"/>
  <c r="CH14" i="5"/>
  <c r="CH12" i="5"/>
  <c r="CH45" i="5"/>
  <c r="CH74" i="5"/>
  <c r="CH84" i="5"/>
  <c r="CH3" i="5"/>
  <c r="CH68" i="5"/>
  <c r="CH69" i="5"/>
  <c r="CH39" i="5"/>
  <c r="CH4" i="5"/>
  <c r="CH6" i="5"/>
  <c r="CH7" i="5"/>
  <c r="CH8" i="5"/>
  <c r="CH38" i="5"/>
  <c r="CH77" i="5"/>
  <c r="CH31" i="5"/>
  <c r="CH37" i="5"/>
  <c r="CH56" i="5"/>
  <c r="CH86" i="5"/>
  <c r="CH36" i="5"/>
  <c r="CH48" i="5"/>
  <c r="CH13" i="5"/>
  <c r="CH20" i="5"/>
  <c r="CH29" i="5"/>
  <c r="CH35" i="5"/>
  <c r="CH54" i="5"/>
  <c r="CH27" i="5"/>
  <c r="CH33" i="5"/>
  <c r="CH63" i="5"/>
  <c r="CH76" i="5"/>
  <c r="BN58" i="5"/>
  <c r="BN78" i="5"/>
  <c r="BN59" i="5"/>
  <c r="BN79" i="5"/>
  <c r="BN60" i="5"/>
  <c r="BN80" i="5"/>
  <c r="BN61" i="5"/>
  <c r="BN81" i="5"/>
  <c r="BN55" i="5"/>
  <c r="BN75" i="5"/>
  <c r="BN52" i="5"/>
  <c r="BN67" i="5"/>
  <c r="BN82" i="5"/>
  <c r="BN11" i="5"/>
  <c r="BN10" i="5"/>
  <c r="BN54" i="5"/>
  <c r="BN69" i="5"/>
  <c r="BN45" i="5"/>
  <c r="BN56" i="5"/>
  <c r="BN57" i="5"/>
  <c r="BN84" i="5"/>
  <c r="BN47" i="5"/>
  <c r="BN19" i="5"/>
  <c r="BN46" i="5"/>
  <c r="BN5" i="5"/>
  <c r="BN9" i="5"/>
  <c r="BN62" i="5"/>
  <c r="BN70" i="5"/>
  <c r="BN76" i="5"/>
  <c r="BN71" i="5"/>
  <c r="BN77" i="5"/>
  <c r="BN22" i="5"/>
  <c r="BN73" i="5"/>
  <c r="BN74" i="5"/>
  <c r="BN68" i="5"/>
  <c r="BN8" i="5"/>
  <c r="BN51" i="5"/>
  <c r="BN63" i="5"/>
  <c r="BN18" i="5"/>
  <c r="BN21" i="5"/>
  <c r="BN50" i="5"/>
  <c r="BN85" i="5"/>
  <c r="BN17" i="5"/>
  <c r="BN28" i="5"/>
  <c r="BN39" i="5"/>
  <c r="BN38" i="5"/>
  <c r="BN26" i="5"/>
  <c r="BN37" i="5"/>
  <c r="BN48" i="5"/>
  <c r="BN36" i="5"/>
  <c r="BN24" i="5"/>
  <c r="BN35" i="5"/>
  <c r="BN65" i="5"/>
  <c r="BN4" i="5"/>
  <c r="BN6" i="5"/>
  <c r="BN7" i="5"/>
  <c r="CC44" i="5"/>
  <c r="BM43" i="5"/>
  <c r="CI41" i="5"/>
  <c r="BI41" i="5"/>
  <c r="BV40" i="5"/>
  <c r="CC39" i="5"/>
  <c r="CP38" i="5"/>
  <c r="BJ38" i="5"/>
  <c r="CD36" i="5"/>
  <c r="BQ35" i="5"/>
  <c r="CK33" i="5"/>
  <c r="CM32" i="5"/>
  <c r="CP31" i="5"/>
  <c r="CK30" i="5"/>
  <c r="CM29" i="5"/>
  <c r="CH28" i="5"/>
  <c r="CJ27" i="5"/>
  <c r="CG25" i="5"/>
  <c r="CB24" i="5"/>
  <c r="BL20" i="5"/>
  <c r="CM18" i="5"/>
  <c r="BR14" i="5"/>
  <c r="CP12" i="5"/>
  <c r="BS11" i="5"/>
  <c r="BV9" i="5"/>
  <c r="CC7" i="5"/>
  <c r="BK4" i="5"/>
  <c r="BR82" i="5"/>
  <c r="BL79" i="5"/>
  <c r="CB76" i="5"/>
  <c r="BO66" i="5"/>
  <c r="BP55" i="5"/>
  <c r="CD47" i="5"/>
  <c r="CM30" i="5"/>
  <c r="CB39" i="5"/>
  <c r="CO38" i="5"/>
  <c r="BI38" i="5"/>
  <c r="BV37" i="5"/>
  <c r="CC36" i="5"/>
  <c r="CP35" i="5"/>
  <c r="BO35" i="5"/>
  <c r="CJ33" i="5"/>
  <c r="CL32" i="5"/>
  <c r="CO31" i="5"/>
  <c r="CJ30" i="5"/>
  <c r="CL29" i="5"/>
  <c r="CG28" i="5"/>
  <c r="CI27" i="5"/>
  <c r="BV23" i="5"/>
  <c r="BS21" i="5"/>
  <c r="BK20" i="5"/>
  <c r="CL18" i="5"/>
  <c r="CM15" i="5"/>
  <c r="BQ14" i="5"/>
  <c r="CO12" i="5"/>
  <c r="BR11" i="5"/>
  <c r="BU9" i="5"/>
  <c r="CB7" i="5"/>
  <c r="CO3" i="5"/>
  <c r="CM84" i="5"/>
  <c r="BQ82" i="5"/>
  <c r="BK79" i="5"/>
  <c r="BN66" i="5"/>
  <c r="BS62" i="5"/>
  <c r="CC47" i="5"/>
  <c r="CP33" i="5"/>
  <c r="CI57" i="5"/>
  <c r="CI77" i="5"/>
  <c r="CI58" i="5"/>
  <c r="CI78" i="5"/>
  <c r="CI59" i="5"/>
  <c r="CI79" i="5"/>
  <c r="CI60" i="5"/>
  <c r="CI80" i="5"/>
  <c r="CI54" i="5"/>
  <c r="CI74" i="5"/>
  <c r="CI45" i="5"/>
  <c r="CI56" i="5"/>
  <c r="CI71" i="5"/>
  <c r="CI47" i="5"/>
  <c r="CI62" i="5"/>
  <c r="CI11" i="5"/>
  <c r="CI73" i="5"/>
  <c r="CI49" i="5"/>
  <c r="CI64" i="5"/>
  <c r="CI75" i="5"/>
  <c r="CI51" i="5"/>
  <c r="CI50" i="5"/>
  <c r="CI82" i="5"/>
  <c r="CI20" i="5"/>
  <c r="CI66" i="5"/>
  <c r="CI72" i="5"/>
  <c r="CI5" i="5"/>
  <c r="CI9" i="5"/>
  <c r="CI65" i="5"/>
  <c r="CI19" i="5"/>
  <c r="CI53" i="5"/>
  <c r="CI85" i="5"/>
  <c r="CI52" i="5"/>
  <c r="CI76" i="5"/>
  <c r="CI23" i="5"/>
  <c r="CI81" i="5"/>
  <c r="CI16" i="5"/>
  <c r="CI22" i="5"/>
  <c r="CI61" i="5"/>
  <c r="CI70" i="5"/>
  <c r="CI83" i="5"/>
  <c r="CI18" i="5"/>
  <c r="CI21" i="5"/>
  <c r="CI14" i="5"/>
  <c r="CI24" i="5"/>
  <c r="CI40" i="5"/>
  <c r="CI12" i="5"/>
  <c r="CI39" i="5"/>
  <c r="CI3" i="5"/>
  <c r="CI4" i="5"/>
  <c r="CI6" i="5"/>
  <c r="CI7" i="5"/>
  <c r="CI8" i="5"/>
  <c r="CI10" i="5"/>
  <c r="CI38" i="5"/>
  <c r="CI31" i="5"/>
  <c r="CI37" i="5"/>
  <c r="CI86" i="5"/>
  <c r="CI36" i="5"/>
  <c r="CI48" i="5"/>
  <c r="CI13" i="5"/>
  <c r="CI29" i="5"/>
  <c r="CI34" i="5"/>
  <c r="CI46" i="5"/>
  <c r="CL33" i="5"/>
  <c r="CO15" i="5"/>
  <c r="CF60" i="5"/>
  <c r="CF80" i="5"/>
  <c r="CF61" i="5"/>
  <c r="CF81" i="5"/>
  <c r="CF62" i="5"/>
  <c r="CF82" i="5"/>
  <c r="CF63" i="5"/>
  <c r="CF83" i="5"/>
  <c r="CF57" i="5"/>
  <c r="CF77" i="5"/>
  <c r="CF73" i="5"/>
  <c r="CF49" i="5"/>
  <c r="CF64" i="5"/>
  <c r="CF9" i="5"/>
  <c r="CF75" i="5"/>
  <c r="CF8" i="5"/>
  <c r="CF51" i="5"/>
  <c r="CF66" i="5"/>
  <c r="CF53" i="5"/>
  <c r="CF65" i="5"/>
  <c r="CF79" i="5"/>
  <c r="CF85" i="5"/>
  <c r="CF52" i="5"/>
  <c r="CF18" i="5"/>
  <c r="CF17" i="5"/>
  <c r="CF67" i="5"/>
  <c r="CF4" i="5"/>
  <c r="CF16" i="5"/>
  <c r="CF55" i="5"/>
  <c r="CF68" i="5"/>
  <c r="CF46" i="5"/>
  <c r="CF14" i="5"/>
  <c r="CF12" i="5"/>
  <c r="CF45" i="5"/>
  <c r="CF74" i="5"/>
  <c r="CF84" i="5"/>
  <c r="CF3" i="5"/>
  <c r="CF6" i="5"/>
  <c r="CF69" i="5"/>
  <c r="CF48" i="5"/>
  <c r="CF19" i="5"/>
  <c r="CF31" i="5"/>
  <c r="CF37" i="5"/>
  <c r="CF86" i="5"/>
  <c r="CF10" i="5"/>
  <c r="CF11" i="5"/>
  <c r="CF36" i="5"/>
  <c r="CF56" i="5"/>
  <c r="CF13" i="5"/>
  <c r="CF20" i="5"/>
  <c r="CF29" i="5"/>
  <c r="CF35" i="5"/>
  <c r="CF34" i="5"/>
  <c r="CF54" i="5"/>
  <c r="CF70" i="5"/>
  <c r="CF5" i="5"/>
  <c r="CF27" i="5"/>
  <c r="CF33" i="5"/>
  <c r="CF15" i="5"/>
  <c r="CF58" i="5"/>
  <c r="CF72" i="5"/>
  <c r="CF25" i="5"/>
  <c r="BL60" i="5"/>
  <c r="BL80" i="5"/>
  <c r="BL61" i="5"/>
  <c r="BL81" i="5"/>
  <c r="BL62" i="5"/>
  <c r="BL82" i="5"/>
  <c r="BL63" i="5"/>
  <c r="BL83" i="5"/>
  <c r="BL57" i="5"/>
  <c r="BL77" i="5"/>
  <c r="BL54" i="5"/>
  <c r="BL69" i="5"/>
  <c r="BL84" i="5"/>
  <c r="BL9" i="5"/>
  <c r="BL45" i="5"/>
  <c r="BL8" i="5"/>
  <c r="BL56" i="5"/>
  <c r="BL71" i="5"/>
  <c r="BL47" i="5"/>
  <c r="BL58" i="5"/>
  <c r="BL46" i="5"/>
  <c r="BL5" i="5"/>
  <c r="BL19" i="5"/>
  <c r="BL70" i="5"/>
  <c r="BL18" i="5"/>
  <c r="BL59" i="5"/>
  <c r="BL76" i="5"/>
  <c r="BL17" i="5"/>
  <c r="BL49" i="5"/>
  <c r="BL16" i="5"/>
  <c r="BL48" i="5"/>
  <c r="BL52" i="5"/>
  <c r="BL68" i="5"/>
  <c r="BL51" i="5"/>
  <c r="BL78" i="5"/>
  <c r="BL11" i="5"/>
  <c r="BL21" i="5"/>
  <c r="BL72" i="5"/>
  <c r="BL55" i="5"/>
  <c r="BL67" i="5"/>
  <c r="BL26" i="5"/>
  <c r="BL37" i="5"/>
  <c r="BL36" i="5"/>
  <c r="BL24" i="5"/>
  <c r="BL35" i="5"/>
  <c r="BL34" i="5"/>
  <c r="BL22" i="5"/>
  <c r="BL74" i="5"/>
  <c r="BL31" i="5"/>
  <c r="BL33" i="5"/>
  <c r="BL53" i="5"/>
  <c r="BL66" i="5"/>
  <c r="BL10" i="5"/>
  <c r="CJ43" i="5"/>
  <c r="CG41" i="5"/>
  <c r="BN40" i="5"/>
  <c r="BH38" i="5"/>
  <c r="BU37" i="5"/>
  <c r="CB36" i="5"/>
  <c r="CO35" i="5"/>
  <c r="BI35" i="5"/>
  <c r="BV34" i="5"/>
  <c r="CI33" i="5"/>
  <c r="CK32" i="5"/>
  <c r="CI30" i="5"/>
  <c r="CK29" i="5"/>
  <c r="CF28" i="5"/>
  <c r="CC26" i="5"/>
  <c r="BU23" i="5"/>
  <c r="BO21" i="5"/>
  <c r="BJ20" i="5"/>
  <c r="CC18" i="5"/>
  <c r="BH17" i="5"/>
  <c r="CL15" i="5"/>
  <c r="BP14" i="5"/>
  <c r="BQ11" i="5"/>
  <c r="CI84" i="5"/>
  <c r="BP82" i="5"/>
  <c r="BI79" i="5"/>
  <c r="CB75" i="5"/>
  <c r="BM66" i="5"/>
  <c r="BR62" i="5"/>
  <c r="BU47" i="5"/>
  <c r="BS53" i="5"/>
  <c r="BS73" i="5"/>
  <c r="BS54" i="5"/>
  <c r="BS74" i="5"/>
  <c r="BS55" i="5"/>
  <c r="BS75" i="5"/>
  <c r="BS56" i="5"/>
  <c r="BS76" i="5"/>
  <c r="BS50" i="5"/>
  <c r="BS70" i="5"/>
  <c r="BS46" i="5"/>
  <c r="BS61" i="5"/>
  <c r="BS72" i="5"/>
  <c r="BS48" i="5"/>
  <c r="BS63" i="5"/>
  <c r="BS78" i="5"/>
  <c r="BS65" i="5"/>
  <c r="BS80" i="5"/>
  <c r="BS52" i="5"/>
  <c r="BS58" i="5"/>
  <c r="BS57" i="5"/>
  <c r="BS68" i="5"/>
  <c r="BS86" i="5"/>
  <c r="BS45" i="5"/>
  <c r="BS69" i="5"/>
  <c r="BS81" i="5"/>
  <c r="BS6" i="5"/>
  <c r="BS10" i="5"/>
  <c r="BS60" i="5"/>
  <c r="BS79" i="5"/>
  <c r="BS27" i="5"/>
  <c r="BS15" i="5"/>
  <c r="BS19" i="5"/>
  <c r="BS26" i="5"/>
  <c r="BS64" i="5"/>
  <c r="BS4" i="5"/>
  <c r="BS7" i="5"/>
  <c r="BS25" i="5"/>
  <c r="BS13" i="5"/>
  <c r="BS24" i="5"/>
  <c r="BS23" i="5"/>
  <c r="BS59" i="5"/>
  <c r="BS77" i="5"/>
  <c r="BS47" i="5"/>
  <c r="BS66" i="5"/>
  <c r="BS44" i="5"/>
  <c r="BS16" i="5"/>
  <c r="BS32" i="5"/>
  <c r="BS43" i="5"/>
  <c r="BS42" i="5"/>
  <c r="BS30" i="5"/>
  <c r="BS41" i="5"/>
  <c r="BS40" i="5"/>
  <c r="BS85" i="5"/>
  <c r="BS17" i="5"/>
  <c r="BS18" i="5"/>
  <c r="BS28" i="5"/>
  <c r="BS67" i="5"/>
  <c r="BS22" i="5"/>
  <c r="BS38" i="5"/>
  <c r="BS49" i="5"/>
  <c r="BS5" i="5"/>
  <c r="BS8" i="5"/>
  <c r="BS9" i="5"/>
  <c r="BV35" i="5"/>
  <c r="CM85" i="5"/>
  <c r="CJ56" i="5"/>
  <c r="CJ76" i="5"/>
  <c r="CJ57" i="5"/>
  <c r="CJ77" i="5"/>
  <c r="CJ58" i="5"/>
  <c r="CJ78" i="5"/>
  <c r="CJ59" i="5"/>
  <c r="CJ79" i="5"/>
  <c r="CJ53" i="5"/>
  <c r="CJ73" i="5"/>
  <c r="CJ69" i="5"/>
  <c r="CJ45" i="5"/>
  <c r="CJ60" i="5"/>
  <c r="CJ71" i="5"/>
  <c r="CJ47" i="5"/>
  <c r="CJ62" i="5"/>
  <c r="CJ49" i="5"/>
  <c r="CJ64" i="5"/>
  <c r="CJ63" i="5"/>
  <c r="CJ51" i="5"/>
  <c r="CJ50" i="5"/>
  <c r="CJ82" i="5"/>
  <c r="CJ20" i="5"/>
  <c r="CJ66" i="5"/>
  <c r="CJ72" i="5"/>
  <c r="CJ5" i="5"/>
  <c r="CJ9" i="5"/>
  <c r="CJ65" i="5"/>
  <c r="CJ24" i="5"/>
  <c r="CJ75" i="5"/>
  <c r="CJ23" i="5"/>
  <c r="CJ80" i="5"/>
  <c r="CJ81" i="5"/>
  <c r="CJ16" i="5"/>
  <c r="CJ22" i="5"/>
  <c r="CJ61" i="5"/>
  <c r="CJ70" i="5"/>
  <c r="CJ83" i="5"/>
  <c r="CJ18" i="5"/>
  <c r="CJ21" i="5"/>
  <c r="CJ85" i="5"/>
  <c r="CJ14" i="5"/>
  <c r="CJ68" i="5"/>
  <c r="CJ41" i="5"/>
  <c r="CJ19" i="5"/>
  <c r="CJ40" i="5"/>
  <c r="CJ12" i="5"/>
  <c r="CJ39" i="5"/>
  <c r="CJ52" i="5"/>
  <c r="CJ3" i="5"/>
  <c r="CJ4" i="5"/>
  <c r="CJ6" i="5"/>
  <c r="CJ7" i="5"/>
  <c r="CJ8" i="5"/>
  <c r="CJ10" i="5"/>
  <c r="CJ11" i="5"/>
  <c r="CJ38" i="5"/>
  <c r="CJ31" i="5"/>
  <c r="CJ37" i="5"/>
  <c r="CJ86" i="5"/>
  <c r="CJ48" i="5"/>
  <c r="CJ74" i="5"/>
  <c r="CJ13" i="5"/>
  <c r="CJ29" i="5"/>
  <c r="CJ35" i="5"/>
  <c r="CJ15" i="5"/>
  <c r="CJ55" i="5"/>
  <c r="CJ84" i="5"/>
  <c r="CM33" i="5"/>
  <c r="CL30" i="5"/>
  <c r="BU21" i="5"/>
  <c r="CK43" i="5"/>
  <c r="CE61" i="5"/>
  <c r="CE81" i="5"/>
  <c r="CE62" i="5"/>
  <c r="CE82" i="5"/>
  <c r="CE63" i="5"/>
  <c r="CE83" i="5"/>
  <c r="CE64" i="5"/>
  <c r="CE84" i="5"/>
  <c r="CE58" i="5"/>
  <c r="CE78" i="5"/>
  <c r="CE49" i="5"/>
  <c r="CE60" i="5"/>
  <c r="CE75" i="5"/>
  <c r="CE8" i="5"/>
  <c r="CE51" i="5"/>
  <c r="CE66" i="5"/>
  <c r="CE86" i="5"/>
  <c r="CE7" i="5"/>
  <c r="CE77" i="5"/>
  <c r="CE53" i="5"/>
  <c r="CE68" i="5"/>
  <c r="CE79" i="5"/>
  <c r="CE85" i="5"/>
  <c r="CE9" i="5"/>
  <c r="CE52" i="5"/>
  <c r="CE18" i="5"/>
  <c r="CE17" i="5"/>
  <c r="CE67" i="5"/>
  <c r="CE4" i="5"/>
  <c r="CE16" i="5"/>
  <c r="CE55" i="5"/>
  <c r="CE73" i="5"/>
  <c r="CE15" i="5"/>
  <c r="CE54" i="5"/>
  <c r="CE74" i="5"/>
  <c r="CE45" i="5"/>
  <c r="CE80" i="5"/>
  <c r="CE12" i="5"/>
  <c r="CE65" i="5"/>
  <c r="CE3" i="5"/>
  <c r="CE6" i="5"/>
  <c r="CE69" i="5"/>
  <c r="CE48" i="5"/>
  <c r="CE56" i="5"/>
  <c r="CE10" i="5"/>
  <c r="CE11" i="5"/>
  <c r="CE36" i="5"/>
  <c r="CE13" i="5"/>
  <c r="CE20" i="5"/>
  <c r="CE29" i="5"/>
  <c r="CE35" i="5"/>
  <c r="CE34" i="5"/>
  <c r="CE70" i="5"/>
  <c r="CE5" i="5"/>
  <c r="CE27" i="5"/>
  <c r="CE33" i="5"/>
  <c r="CE72" i="5"/>
  <c r="CE14" i="5"/>
  <c r="CE25" i="5"/>
  <c r="CE46" i="5"/>
  <c r="CE50" i="5"/>
  <c r="BK61" i="5"/>
  <c r="BK81" i="5"/>
  <c r="BK62" i="5"/>
  <c r="BK82" i="5"/>
  <c r="BK63" i="5"/>
  <c r="BK83" i="5"/>
  <c r="BK64" i="5"/>
  <c r="BK84" i="5"/>
  <c r="BK58" i="5"/>
  <c r="BK78" i="5"/>
  <c r="BK54" i="5"/>
  <c r="BK69" i="5"/>
  <c r="BK45" i="5"/>
  <c r="BK8" i="5"/>
  <c r="BK56" i="5"/>
  <c r="BK71" i="5"/>
  <c r="BK86" i="5"/>
  <c r="BK7" i="5"/>
  <c r="BK47" i="5"/>
  <c r="BK73" i="5"/>
  <c r="BK49" i="5"/>
  <c r="BK60" i="5"/>
  <c r="BK46" i="5"/>
  <c r="BK5" i="5"/>
  <c r="BK70" i="5"/>
  <c r="BK18" i="5"/>
  <c r="BK59" i="5"/>
  <c r="BK76" i="5"/>
  <c r="BK9" i="5"/>
  <c r="BK17" i="5"/>
  <c r="BK77" i="5"/>
  <c r="BK16" i="5"/>
  <c r="BK48" i="5"/>
  <c r="BK15" i="5"/>
  <c r="BK51" i="5"/>
  <c r="BK11" i="5"/>
  <c r="BK21" i="5"/>
  <c r="BK72" i="5"/>
  <c r="BK55" i="5"/>
  <c r="BK14" i="5"/>
  <c r="BK67" i="5"/>
  <c r="BK66" i="5"/>
  <c r="BK36" i="5"/>
  <c r="BK24" i="5"/>
  <c r="BK35" i="5"/>
  <c r="BK52" i="5"/>
  <c r="BK34" i="5"/>
  <c r="BK22" i="5"/>
  <c r="BK74" i="5"/>
  <c r="BK31" i="5"/>
  <c r="BK65" i="5"/>
  <c r="BK29" i="5"/>
  <c r="BK75" i="5"/>
  <c r="CI43" i="5"/>
  <c r="BJ43" i="5"/>
  <c r="CF41" i="5"/>
  <c r="CL38" i="5"/>
  <c r="BH35" i="5"/>
  <c r="BU34" i="5"/>
  <c r="CG33" i="5"/>
  <c r="CJ32" i="5"/>
  <c r="CM31" i="5"/>
  <c r="CH30" i="5"/>
  <c r="CE28" i="5"/>
  <c r="CB26" i="5"/>
  <c r="BV22" i="5"/>
  <c r="BI21" i="5"/>
  <c r="BI20" i="5"/>
  <c r="CB18" i="5"/>
  <c r="CK15" i="5"/>
  <c r="BO14" i="5"/>
  <c r="BV12" i="5"/>
  <c r="BI11" i="5"/>
  <c r="BR9" i="5"/>
  <c r="BP7" i="5"/>
  <c r="BS3" i="5"/>
  <c r="BI82" i="5"/>
  <c r="BH79" i="5"/>
  <c r="BJ69" i="5"/>
  <c r="BQ62" i="5"/>
  <c r="CG50" i="5"/>
  <c r="BV4" i="5"/>
  <c r="CJ28" i="5"/>
  <c r="BR35" i="5"/>
  <c r="BS14" i="5"/>
  <c r="BP66" i="5"/>
  <c r="BM59" i="5"/>
  <c r="BM79" i="5"/>
  <c r="BM60" i="5"/>
  <c r="BM80" i="5"/>
  <c r="BM61" i="5"/>
  <c r="BM81" i="5"/>
  <c r="BM62" i="5"/>
  <c r="BM82" i="5"/>
  <c r="BM56" i="5"/>
  <c r="BM76" i="5"/>
  <c r="BM52" i="5"/>
  <c r="BM67" i="5"/>
  <c r="BM78" i="5"/>
  <c r="BM10" i="5"/>
  <c r="BM54" i="5"/>
  <c r="BM69" i="5"/>
  <c r="BM84" i="5"/>
  <c r="BM9" i="5"/>
  <c r="BM45" i="5"/>
  <c r="BM71" i="5"/>
  <c r="BM47" i="5"/>
  <c r="BM58" i="5"/>
  <c r="BM57" i="5"/>
  <c r="BM46" i="5"/>
  <c r="BM5" i="5"/>
  <c r="BM70" i="5"/>
  <c r="BM18" i="5"/>
  <c r="BM77" i="5"/>
  <c r="BM17" i="5"/>
  <c r="BM49" i="5"/>
  <c r="BM73" i="5"/>
  <c r="BM74" i="5"/>
  <c r="BM68" i="5"/>
  <c r="BM8" i="5"/>
  <c r="BM51" i="5"/>
  <c r="BM63" i="5"/>
  <c r="BM11" i="5"/>
  <c r="BM21" i="5"/>
  <c r="BM20" i="5"/>
  <c r="BM16" i="5"/>
  <c r="BM72" i="5"/>
  <c r="BM19" i="5"/>
  <c r="BM55" i="5"/>
  <c r="BM38" i="5"/>
  <c r="BM26" i="5"/>
  <c r="BM37" i="5"/>
  <c r="BM48" i="5"/>
  <c r="BM36" i="5"/>
  <c r="BM24" i="5"/>
  <c r="BM35" i="5"/>
  <c r="BM34" i="5"/>
  <c r="BM22" i="5"/>
  <c r="BM31" i="5"/>
  <c r="BM12" i="5"/>
  <c r="BM3" i="5"/>
  <c r="CD62" i="5"/>
  <c r="CD82" i="5"/>
  <c r="CD63" i="5"/>
  <c r="CD83" i="5"/>
  <c r="CD64" i="5"/>
  <c r="CD84" i="5"/>
  <c r="CD45" i="5"/>
  <c r="CD65" i="5"/>
  <c r="CD85" i="5"/>
  <c r="CD59" i="5"/>
  <c r="CD79" i="5"/>
  <c r="CD75" i="5"/>
  <c r="CD51" i="5"/>
  <c r="CD66" i="5"/>
  <c r="CD86" i="5"/>
  <c r="CD7" i="5"/>
  <c r="CD77" i="5"/>
  <c r="CD6" i="5"/>
  <c r="CD53" i="5"/>
  <c r="CD68" i="5"/>
  <c r="CD55" i="5"/>
  <c r="CD52" i="5"/>
  <c r="CD17" i="5"/>
  <c r="CD67" i="5"/>
  <c r="CD4" i="5"/>
  <c r="CD16" i="5"/>
  <c r="CD73" i="5"/>
  <c r="CD15" i="5"/>
  <c r="CD54" i="5"/>
  <c r="CD74" i="5"/>
  <c r="CD8" i="5"/>
  <c r="CD14" i="5"/>
  <c r="CD80" i="5"/>
  <c r="CD81" i="5"/>
  <c r="CD12" i="5"/>
  <c r="CD18" i="5"/>
  <c r="CD61" i="5"/>
  <c r="CD3" i="5"/>
  <c r="CD49" i="5"/>
  <c r="CD69" i="5"/>
  <c r="CD48" i="5"/>
  <c r="CD9" i="5"/>
  <c r="CD20" i="5"/>
  <c r="CD56" i="5"/>
  <c r="CD13" i="5"/>
  <c r="CD29" i="5"/>
  <c r="CD35" i="5"/>
  <c r="CD34" i="5"/>
  <c r="CD60" i="5"/>
  <c r="CD70" i="5"/>
  <c r="CD5" i="5"/>
  <c r="CD27" i="5"/>
  <c r="CD33" i="5"/>
  <c r="CD72" i="5"/>
  <c r="CD25" i="5"/>
  <c r="CD46" i="5"/>
  <c r="CD50" i="5"/>
  <c r="CD58" i="5"/>
  <c r="CD23" i="5"/>
  <c r="CD57" i="5"/>
  <c r="CD78" i="5"/>
  <c r="BJ62" i="5"/>
  <c r="BJ82" i="5"/>
  <c r="BJ63" i="5"/>
  <c r="BJ83" i="5"/>
  <c r="BJ64" i="5"/>
  <c r="BJ84" i="5"/>
  <c r="BJ45" i="5"/>
  <c r="BJ65" i="5"/>
  <c r="BJ85" i="5"/>
  <c r="BJ59" i="5"/>
  <c r="BJ79" i="5"/>
  <c r="BJ56" i="5"/>
  <c r="BJ71" i="5"/>
  <c r="BJ86" i="5"/>
  <c r="BJ7" i="5"/>
  <c r="BJ47" i="5"/>
  <c r="BJ6" i="5"/>
  <c r="BJ58" i="5"/>
  <c r="BJ73" i="5"/>
  <c r="BJ49" i="5"/>
  <c r="BJ60" i="5"/>
  <c r="BJ70" i="5"/>
  <c r="BJ18" i="5"/>
  <c r="BJ76" i="5"/>
  <c r="BJ9" i="5"/>
  <c r="BJ17" i="5"/>
  <c r="BJ77" i="5"/>
  <c r="BJ16" i="5"/>
  <c r="BJ48" i="5"/>
  <c r="BJ15" i="5"/>
  <c r="BJ4" i="5"/>
  <c r="BJ14" i="5"/>
  <c r="BJ61" i="5"/>
  <c r="BJ8" i="5"/>
  <c r="BJ11" i="5"/>
  <c r="BJ21" i="5"/>
  <c r="BJ78" i="5"/>
  <c r="BJ72" i="5"/>
  <c r="BJ55" i="5"/>
  <c r="BJ5" i="5"/>
  <c r="BJ67" i="5"/>
  <c r="BJ66" i="5"/>
  <c r="BJ50" i="5"/>
  <c r="BJ24" i="5"/>
  <c r="BJ35" i="5"/>
  <c r="BJ52" i="5"/>
  <c r="BJ34" i="5"/>
  <c r="BJ22" i="5"/>
  <c r="BJ46" i="5"/>
  <c r="BJ74" i="5"/>
  <c r="BJ81" i="5"/>
  <c r="BJ31" i="5"/>
  <c r="BJ33" i="5"/>
  <c r="BJ29" i="5"/>
  <c r="BJ12" i="5"/>
  <c r="BJ51" i="5"/>
  <c r="CH43" i="5"/>
  <c r="BI43" i="5"/>
  <c r="CE41" i="5"/>
  <c r="BL40" i="5"/>
  <c r="CF38" i="5"/>
  <c r="BS37" i="5"/>
  <c r="CM35" i="5"/>
  <c r="CI32" i="5"/>
  <c r="CE31" i="5"/>
  <c r="CD28" i="5"/>
  <c r="BV25" i="5"/>
  <c r="BN23" i="5"/>
  <c r="BU22" i="5"/>
  <c r="BH21" i="5"/>
  <c r="BH20" i="5"/>
  <c r="CI15" i="5"/>
  <c r="BN14" i="5"/>
  <c r="BU12" i="5"/>
  <c r="BQ9" i="5"/>
  <c r="BO7" i="5"/>
  <c r="BV5" i="5"/>
  <c r="BR3" i="5"/>
  <c r="CL86" i="5"/>
  <c r="BV84" i="5"/>
  <c r="CP81" i="5"/>
  <c r="BH69" i="5"/>
  <c r="BV65" i="5"/>
  <c r="BP62" i="5"/>
  <c r="CF50" i="5"/>
  <c r="CJ46" i="5"/>
  <c r="BS35" i="5"/>
  <c r="BO57" i="5"/>
  <c r="BO77" i="5"/>
  <c r="BO58" i="5"/>
  <c r="BO78" i="5"/>
  <c r="BO59" i="5"/>
  <c r="BO79" i="5"/>
  <c r="BO60" i="5"/>
  <c r="BO80" i="5"/>
  <c r="BO54" i="5"/>
  <c r="BO74" i="5"/>
  <c r="BO50" i="5"/>
  <c r="BO65" i="5"/>
  <c r="BO76" i="5"/>
  <c r="BO52" i="5"/>
  <c r="BO67" i="5"/>
  <c r="BO82" i="5"/>
  <c r="BO11" i="5"/>
  <c r="BO69" i="5"/>
  <c r="BO45" i="5"/>
  <c r="BO56" i="5"/>
  <c r="BO20" i="5"/>
  <c r="BO84" i="5"/>
  <c r="BO47" i="5"/>
  <c r="BO19" i="5"/>
  <c r="BO46" i="5"/>
  <c r="BO5" i="5"/>
  <c r="BO9" i="5"/>
  <c r="BO62" i="5"/>
  <c r="BO70" i="5"/>
  <c r="BO48" i="5"/>
  <c r="BO23" i="5"/>
  <c r="BO22" i="5"/>
  <c r="BO73" i="5"/>
  <c r="BO68" i="5"/>
  <c r="BO8" i="5"/>
  <c r="BO51" i="5"/>
  <c r="BO63" i="5"/>
  <c r="BO40" i="5"/>
  <c r="BO85" i="5"/>
  <c r="BO17" i="5"/>
  <c r="BO18" i="5"/>
  <c r="BO28" i="5"/>
  <c r="BO39" i="5"/>
  <c r="BO38" i="5"/>
  <c r="BO26" i="5"/>
  <c r="BO37" i="5"/>
  <c r="BO81" i="5"/>
  <c r="BO36" i="5"/>
  <c r="BO71" i="5"/>
  <c r="BO24" i="5"/>
  <c r="BO34" i="5"/>
  <c r="BO49" i="5"/>
  <c r="BO55" i="5"/>
  <c r="CI28" i="5"/>
  <c r="BS82" i="5"/>
  <c r="CG59" i="5"/>
  <c r="CG79" i="5"/>
  <c r="CG60" i="5"/>
  <c r="CG80" i="5"/>
  <c r="CG61" i="5"/>
  <c r="CG81" i="5"/>
  <c r="CG62" i="5"/>
  <c r="CG82" i="5"/>
  <c r="CG56" i="5"/>
  <c r="CG76" i="5"/>
  <c r="CG47" i="5"/>
  <c r="CG58" i="5"/>
  <c r="CG73" i="5"/>
  <c r="CG10" i="5"/>
  <c r="CG49" i="5"/>
  <c r="CG64" i="5"/>
  <c r="CG9" i="5"/>
  <c r="CG75" i="5"/>
  <c r="CG51" i="5"/>
  <c r="CG66" i="5"/>
  <c r="CG77" i="5"/>
  <c r="CG72" i="5"/>
  <c r="CG78" i="5"/>
  <c r="CG5" i="5"/>
  <c r="CG65" i="5"/>
  <c r="CG19" i="5"/>
  <c r="CG53" i="5"/>
  <c r="CG85" i="5"/>
  <c r="CG52" i="5"/>
  <c r="CG18" i="5"/>
  <c r="CG17" i="5"/>
  <c r="CG67" i="5"/>
  <c r="CG57" i="5"/>
  <c r="CG70" i="5"/>
  <c r="CG71" i="5"/>
  <c r="CG83" i="5"/>
  <c r="CG21" i="5"/>
  <c r="CG14" i="5"/>
  <c r="CG12" i="5"/>
  <c r="CG45" i="5"/>
  <c r="CG74" i="5"/>
  <c r="CG84" i="5"/>
  <c r="CG3" i="5"/>
  <c r="CG6" i="5"/>
  <c r="CG68" i="5"/>
  <c r="CG69" i="5"/>
  <c r="CG48" i="5"/>
  <c r="CG4" i="5"/>
  <c r="CG7" i="5"/>
  <c r="CG8" i="5"/>
  <c r="CG22" i="5"/>
  <c r="CG38" i="5"/>
  <c r="CG31" i="5"/>
  <c r="CG37" i="5"/>
  <c r="CG86" i="5"/>
  <c r="CG11" i="5"/>
  <c r="CG36" i="5"/>
  <c r="CG13" i="5"/>
  <c r="CG20" i="5"/>
  <c r="CG29" i="5"/>
  <c r="CG35" i="5"/>
  <c r="CG34" i="5"/>
  <c r="CG54" i="5"/>
  <c r="CG27" i="5"/>
  <c r="CG15" i="5"/>
  <c r="CC63" i="5"/>
  <c r="CC83" i="5"/>
  <c r="CC64" i="5"/>
  <c r="CC84" i="5"/>
  <c r="CC45" i="5"/>
  <c r="CC65" i="5"/>
  <c r="CC85" i="5"/>
  <c r="CC46" i="5"/>
  <c r="CC66" i="5"/>
  <c r="CC60" i="5"/>
  <c r="CC80" i="5"/>
  <c r="CC51" i="5"/>
  <c r="CC62" i="5"/>
  <c r="CC77" i="5"/>
  <c r="CC6" i="5"/>
  <c r="CC53" i="5"/>
  <c r="CC68" i="5"/>
  <c r="CC5" i="5"/>
  <c r="CC79" i="5"/>
  <c r="CC55" i="5"/>
  <c r="CC70" i="5"/>
  <c r="CC17" i="5"/>
  <c r="CC67" i="5"/>
  <c r="CC4" i="5"/>
  <c r="CC16" i="5"/>
  <c r="CC73" i="5"/>
  <c r="CC15" i="5"/>
  <c r="CC54" i="5"/>
  <c r="CC74" i="5"/>
  <c r="CC8" i="5"/>
  <c r="CC14" i="5"/>
  <c r="CC13" i="5"/>
  <c r="CC61" i="5"/>
  <c r="CC75" i="5"/>
  <c r="CC3" i="5"/>
  <c r="CC49" i="5"/>
  <c r="CC69" i="5"/>
  <c r="CC48" i="5"/>
  <c r="CC9" i="5"/>
  <c r="CC82" i="5"/>
  <c r="CC20" i="5"/>
  <c r="CC56" i="5"/>
  <c r="CC33" i="5"/>
  <c r="CC52" i="5"/>
  <c r="CC86" i="5"/>
  <c r="CC12" i="5"/>
  <c r="CC34" i="5"/>
  <c r="CC27" i="5"/>
  <c r="CC72" i="5"/>
  <c r="CC25" i="5"/>
  <c r="CC50" i="5"/>
  <c r="CC58" i="5"/>
  <c r="CC23" i="5"/>
  <c r="CC76" i="5"/>
  <c r="CC81" i="5"/>
  <c r="BI63" i="5"/>
  <c r="BI83" i="5"/>
  <c r="BI64" i="5"/>
  <c r="BI84" i="5"/>
  <c r="BI45" i="5"/>
  <c r="BI65" i="5"/>
  <c r="BI85" i="5"/>
  <c r="BI46" i="5"/>
  <c r="BI66" i="5"/>
  <c r="BI86" i="5"/>
  <c r="BI60" i="5"/>
  <c r="BI80" i="5"/>
  <c r="BI56" i="5"/>
  <c r="BI71" i="5"/>
  <c r="BI47" i="5"/>
  <c r="BI6" i="5"/>
  <c r="BI58" i="5"/>
  <c r="BI73" i="5"/>
  <c r="BI5" i="5"/>
  <c r="BI49" i="5"/>
  <c r="BI75" i="5"/>
  <c r="BI51" i="5"/>
  <c r="BI62" i="5"/>
  <c r="BI76" i="5"/>
  <c r="BI9" i="5"/>
  <c r="BI17" i="5"/>
  <c r="BI59" i="5"/>
  <c r="BI77" i="5"/>
  <c r="BI16" i="5"/>
  <c r="BI48" i="5"/>
  <c r="BI15" i="5"/>
  <c r="BI4" i="5"/>
  <c r="BI14" i="5"/>
  <c r="BI61" i="5"/>
  <c r="BI13" i="5"/>
  <c r="BI78" i="5"/>
  <c r="BI72" i="5"/>
  <c r="BI55" i="5"/>
  <c r="BI67" i="5"/>
  <c r="BI18" i="5"/>
  <c r="BI12" i="5"/>
  <c r="BI33" i="5"/>
  <c r="BI50" i="5"/>
  <c r="BI52" i="5"/>
  <c r="BI34" i="5"/>
  <c r="BI22" i="5"/>
  <c r="BI74" i="5"/>
  <c r="BI81" i="5"/>
  <c r="BI31" i="5"/>
  <c r="BI29" i="5"/>
  <c r="BI53" i="5"/>
  <c r="BI19" i="5"/>
  <c r="BI27" i="5"/>
  <c r="BI57" i="5"/>
  <c r="BI69" i="5"/>
  <c r="BI3" i="5"/>
  <c r="CG43" i="5"/>
  <c r="BH43" i="5"/>
  <c r="BV42" i="5"/>
  <c r="CD41" i="5"/>
  <c r="BK40" i="5"/>
  <c r="CE38" i="5"/>
  <c r="BQ37" i="5"/>
  <c r="CL35" i="5"/>
  <c r="BS34" i="5"/>
  <c r="CH32" i="5"/>
  <c r="CD31" i="5"/>
  <c r="CF30" i="5"/>
  <c r="CC28" i="5"/>
  <c r="BP25" i="5"/>
  <c r="BM23" i="5"/>
  <c r="CE19" i="5"/>
  <c r="CH15" i="5"/>
  <c r="BM14" i="5"/>
  <c r="BP9" i="5"/>
  <c r="BM7" i="5"/>
  <c r="BU5" i="5"/>
  <c r="BQ3" i="5"/>
  <c r="BV86" i="5"/>
  <c r="CO81" i="5"/>
  <c r="CF78" i="5"/>
  <c r="BO75" i="5"/>
  <c r="BN72" i="5"/>
  <c r="BU65" i="5"/>
  <c r="BM50" i="5"/>
  <c r="CH46" i="5"/>
  <c r="CL36" i="5"/>
  <c r="CL27" i="5"/>
  <c r="BU62" i="5"/>
  <c r="CB64" i="5"/>
  <c r="CB84" i="5"/>
  <c r="CB45" i="5"/>
  <c r="CB65" i="5"/>
  <c r="CB85" i="5"/>
  <c r="CB46" i="5"/>
  <c r="CB66" i="5"/>
  <c r="CB47" i="5"/>
  <c r="CB67" i="5"/>
  <c r="CB61" i="5"/>
  <c r="CB81" i="5"/>
  <c r="CB77" i="5"/>
  <c r="CB53" i="5"/>
  <c r="CB68" i="5"/>
  <c r="CB5" i="5"/>
  <c r="CB79" i="5"/>
  <c r="CB4" i="5"/>
  <c r="CB55" i="5"/>
  <c r="CB70" i="5"/>
  <c r="CB57" i="5"/>
  <c r="CB16" i="5"/>
  <c r="CB73" i="5"/>
  <c r="CB15" i="5"/>
  <c r="CB54" i="5"/>
  <c r="CB74" i="5"/>
  <c r="CB8" i="5"/>
  <c r="CB14" i="5"/>
  <c r="CB13" i="5"/>
  <c r="CB80" i="5"/>
  <c r="CB12" i="5"/>
  <c r="CB48" i="5"/>
  <c r="CB49" i="5"/>
  <c r="CB69" i="5"/>
  <c r="CB6" i="5"/>
  <c r="CB9" i="5"/>
  <c r="CB82" i="5"/>
  <c r="CB20" i="5"/>
  <c r="CB56" i="5"/>
  <c r="CB32" i="5"/>
  <c r="CB52" i="5"/>
  <c r="CB86" i="5"/>
  <c r="CB27" i="5"/>
  <c r="CB60" i="5"/>
  <c r="CB3" i="5"/>
  <c r="CB33" i="5"/>
  <c r="CB72" i="5"/>
  <c r="CB25" i="5"/>
  <c r="CB50" i="5"/>
  <c r="CB58" i="5"/>
  <c r="CB23" i="5"/>
  <c r="CB62" i="5"/>
  <c r="CB21" i="5"/>
  <c r="CB59" i="5"/>
  <c r="CB17" i="5"/>
  <c r="CB71" i="5"/>
  <c r="BH64" i="5"/>
  <c r="BH84" i="5"/>
  <c r="BH45" i="5"/>
  <c r="BH65" i="5"/>
  <c r="BH85" i="5"/>
  <c r="BH46" i="5"/>
  <c r="BH66" i="5"/>
  <c r="BH86" i="5"/>
  <c r="BH47" i="5"/>
  <c r="BH67" i="5"/>
  <c r="BH61" i="5"/>
  <c r="BH81" i="5"/>
  <c r="BH58" i="5"/>
  <c r="BH73" i="5"/>
  <c r="BH5" i="5"/>
  <c r="BH49" i="5"/>
  <c r="BH4" i="5"/>
  <c r="BH60" i="5"/>
  <c r="BH75" i="5"/>
  <c r="BH51" i="5"/>
  <c r="BH62" i="5"/>
  <c r="BH59" i="5"/>
  <c r="BH77" i="5"/>
  <c r="BH16" i="5"/>
  <c r="BH48" i="5"/>
  <c r="BH15" i="5"/>
  <c r="BH14" i="5"/>
  <c r="BH13" i="5"/>
  <c r="BH71" i="5"/>
  <c r="BH8" i="5"/>
  <c r="BH12" i="5"/>
  <c r="BH50" i="5"/>
  <c r="BH72" i="5"/>
  <c r="BH56" i="5"/>
  <c r="BH55" i="5"/>
  <c r="BH63" i="5"/>
  <c r="BH18" i="5"/>
  <c r="BH33" i="5"/>
  <c r="BH32" i="5"/>
  <c r="BH22" i="5"/>
  <c r="BH74" i="5"/>
  <c r="BH31" i="5"/>
  <c r="BH29" i="5"/>
  <c r="BH76" i="5"/>
  <c r="BH53" i="5"/>
  <c r="BH19" i="5"/>
  <c r="BH27" i="5"/>
  <c r="BH83" i="5"/>
  <c r="BH6" i="5"/>
  <c r="BH7" i="5"/>
  <c r="BH9" i="5"/>
  <c r="BH10" i="5"/>
  <c r="BH11" i="5"/>
  <c r="BH82" i="5"/>
  <c r="BR44" i="5"/>
  <c r="CF43" i="5"/>
  <c r="BP42" i="5"/>
  <c r="CC41" i="5"/>
  <c r="CP40" i="5"/>
  <c r="BJ40" i="5"/>
  <c r="CD38" i="5"/>
  <c r="BK37" i="5"/>
  <c r="CK35" i="5"/>
  <c r="BR34" i="5"/>
  <c r="CG32" i="5"/>
  <c r="CC31" i="5"/>
  <c r="CE30" i="5"/>
  <c r="CB28" i="5"/>
  <c r="BR27" i="5"/>
  <c r="BO25" i="5"/>
  <c r="BV24" i="5"/>
  <c r="BL23" i="5"/>
  <c r="CD19" i="5"/>
  <c r="BP15" i="5"/>
  <c r="BL14" i="5"/>
  <c r="BS12" i="5"/>
  <c r="CD10" i="5"/>
  <c r="BL7" i="5"/>
  <c r="BP3" i="5"/>
  <c r="BP86" i="5"/>
  <c r="BS84" i="5"/>
  <c r="CC78" i="5"/>
  <c r="BM75" i="5"/>
  <c r="CF71" i="5"/>
  <c r="CI68" i="5"/>
  <c r="BM65" i="5"/>
  <c r="CE57" i="5"/>
  <c r="BL50" i="5"/>
  <c r="CG46" i="5"/>
  <c r="D98" i="2"/>
  <c r="BC3" i="2"/>
  <c r="BE3" i="2" l="1"/>
  <c r="BC47" i="2"/>
  <c r="BE47" i="2" s="1"/>
  <c r="BI47" i="2"/>
  <c r="BC38" i="2"/>
  <c r="BW73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BG47" i="2"/>
  <c r="BH47" i="2"/>
  <c r="BJ47" i="2"/>
  <c r="BN47" i="2"/>
  <c r="BO47" i="2"/>
  <c r="BP47" i="2"/>
  <c r="BQ47" i="2"/>
  <c r="BU47" i="2"/>
  <c r="BV47" i="2"/>
  <c r="BW47" i="2"/>
  <c r="BX47" i="2"/>
  <c r="BY47" i="2"/>
  <c r="CB47" i="2"/>
  <c r="CC47" i="2"/>
  <c r="CD47" i="2"/>
  <c r="CI47" i="2"/>
  <c r="CJ47" i="2"/>
  <c r="CK47" i="2"/>
  <c r="CO47" i="2"/>
  <c r="CP47" i="2"/>
  <c r="CQ47" i="2"/>
  <c r="CR47" i="2"/>
  <c r="CS47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G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G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BE60" i="2"/>
  <c r="BF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G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BE61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BE62" i="2"/>
  <c r="BF62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G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BE63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G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BE64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BE69" i="2"/>
  <c r="BF69" i="2"/>
  <c r="BG69" i="2"/>
  <c r="BH69" i="2"/>
  <c r="BI69" i="2"/>
  <c r="BJ69" i="2"/>
  <c r="BK69" i="2"/>
  <c r="BL69" i="2"/>
  <c r="BM69" i="2"/>
  <c r="BN69" i="2"/>
  <c r="BO69" i="2"/>
  <c r="BP69" i="2"/>
  <c r="BQ69" i="2"/>
  <c r="BR69" i="2"/>
  <c r="BS69" i="2"/>
  <c r="BT69" i="2"/>
  <c r="BU69" i="2"/>
  <c r="BV69" i="2"/>
  <c r="BW69" i="2"/>
  <c r="BX69" i="2"/>
  <c r="BY69" i="2"/>
  <c r="BZ69" i="2"/>
  <c r="CA69" i="2"/>
  <c r="CB69" i="2"/>
  <c r="CC69" i="2"/>
  <c r="CD69" i="2"/>
  <c r="CE69" i="2"/>
  <c r="CF69" i="2"/>
  <c r="CG69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BE70" i="2"/>
  <c r="BF70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BE71" i="2"/>
  <c r="BF71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CC71" i="2"/>
  <c r="CD71" i="2"/>
  <c r="CE71" i="2"/>
  <c r="CF71" i="2"/>
  <c r="CG71" i="2"/>
  <c r="CH71" i="2"/>
  <c r="CI71" i="2"/>
  <c r="CJ71" i="2"/>
  <c r="CK71" i="2"/>
  <c r="CL71" i="2"/>
  <c r="CM71" i="2"/>
  <c r="CN71" i="2"/>
  <c r="CO71" i="2"/>
  <c r="CP71" i="2"/>
  <c r="CQ71" i="2"/>
  <c r="CR71" i="2"/>
  <c r="CS71" i="2"/>
  <c r="CT71" i="2"/>
  <c r="BE72" i="2"/>
  <c r="BF72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G72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BE73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BE74" i="2"/>
  <c r="BF74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G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BE75" i="2"/>
  <c r="BF75" i="2"/>
  <c r="BG75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BT75" i="2"/>
  <c r="BU75" i="2"/>
  <c r="BV75" i="2"/>
  <c r="BW75" i="2"/>
  <c r="BX75" i="2"/>
  <c r="BY75" i="2"/>
  <c r="BZ75" i="2"/>
  <c r="CA75" i="2"/>
  <c r="CB75" i="2"/>
  <c r="CC75" i="2"/>
  <c r="CD75" i="2"/>
  <c r="CE75" i="2"/>
  <c r="CF75" i="2"/>
  <c r="CG75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BE76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BE77" i="2"/>
  <c r="BF77" i="2"/>
  <c r="BG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G77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BE78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BE79" i="2"/>
  <c r="BF79" i="2"/>
  <c r="BG79" i="2"/>
  <c r="BH79" i="2"/>
  <c r="BI79" i="2"/>
  <c r="BJ79" i="2"/>
  <c r="BK79" i="2"/>
  <c r="BL79" i="2"/>
  <c r="BM79" i="2"/>
  <c r="BN79" i="2"/>
  <c r="BO79" i="2"/>
  <c r="BP79" i="2"/>
  <c r="BQ79" i="2"/>
  <c r="BR79" i="2"/>
  <c r="BS79" i="2"/>
  <c r="BT79" i="2"/>
  <c r="BU79" i="2"/>
  <c r="BV79" i="2"/>
  <c r="BW79" i="2"/>
  <c r="BX79" i="2"/>
  <c r="BY79" i="2"/>
  <c r="BZ79" i="2"/>
  <c r="CA79" i="2"/>
  <c r="CB79" i="2"/>
  <c r="CC79" i="2"/>
  <c r="CD79" i="2"/>
  <c r="CE79" i="2"/>
  <c r="CF79" i="2"/>
  <c r="CG79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BE80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BE81" i="2"/>
  <c r="BF81" i="2"/>
  <c r="BG81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G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CK85" i="2"/>
  <c r="CL85" i="2"/>
  <c r="CM85" i="2"/>
  <c r="CN85" i="2"/>
  <c r="CO85" i="2"/>
  <c r="CP85" i="2"/>
  <c r="CQ85" i="2"/>
  <c r="CR85" i="2"/>
  <c r="CS85" i="2"/>
  <c r="CT85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BE45" i="2"/>
  <c r="BC76" i="2"/>
  <c r="BC45" i="2"/>
  <c r="BC46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7" i="2"/>
  <c r="BC78" i="2"/>
  <c r="BC79" i="2"/>
  <c r="BC80" i="2"/>
  <c r="BC81" i="2"/>
  <c r="BC82" i="2"/>
  <c r="BC83" i="2"/>
  <c r="BC84" i="2"/>
  <c r="BC85" i="2"/>
  <c r="BC86" i="2"/>
  <c r="BT41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BE4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BF3" i="2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9" i="2"/>
  <c r="BC40" i="2"/>
  <c r="BC41" i="2"/>
  <c r="BC42" i="2"/>
  <c r="BC43" i="2"/>
  <c r="BC44" i="2"/>
  <c r="CM47" i="2" l="1"/>
  <c r="BS47" i="2"/>
  <c r="CN47" i="2"/>
  <c r="BT47" i="2"/>
  <c r="CL47" i="2"/>
  <c r="BR47" i="2"/>
  <c r="CG47" i="2"/>
  <c r="BM47" i="2"/>
  <c r="CH47" i="2"/>
  <c r="CF47" i="2"/>
  <c r="BL47" i="2"/>
  <c r="CE47" i="2"/>
  <c r="BK47" i="2"/>
  <c r="CA47" i="2"/>
  <c r="BF47" i="2"/>
  <c r="CT47" i="2"/>
  <c r="BZ47" i="2"/>
</calcChain>
</file>

<file path=xl/sharedStrings.xml><?xml version="1.0" encoding="utf-8"?>
<sst xmlns="http://schemas.openxmlformats.org/spreadsheetml/2006/main" count="915" uniqueCount="67">
  <si>
    <t>Metal</t>
  </si>
  <si>
    <t>Non Metal Mineral Product</t>
  </si>
  <si>
    <t>Non Metal Mineral and Other Mining</t>
  </si>
  <si>
    <t>Foods &amp; Tobacco</t>
  </si>
  <si>
    <t>Textile</t>
  </si>
  <si>
    <t>Garment and Apparel, Footwear, Headgear, Leather, Down &amp; Related Products</t>
  </si>
  <si>
    <t>Wood Processing &amp; Furniture</t>
  </si>
  <si>
    <t>Paper Making, Printing, Cultural &amp; Cultural, Educational &amp; Sports Articles</t>
  </si>
  <si>
    <t>Petroleum, Coking and Nuclear Fuel Processing</t>
  </si>
  <si>
    <t>Chemical Product</t>
  </si>
  <si>
    <t>Metal Smelting &amp; Pressing</t>
  </si>
  <si>
    <t>Fabricated Metal Product</t>
  </si>
  <si>
    <t>General Equipment</t>
  </si>
  <si>
    <t>Special Purpose Equipment</t>
  </si>
  <si>
    <t>Transportation Equipment</t>
  </si>
  <si>
    <t>Electrical Machinery &amp; Equipment</t>
  </si>
  <si>
    <t>Communication, Computers &amp; Other Electronic Equipment</t>
  </si>
  <si>
    <t>Instrument &amp; Meter</t>
  </si>
  <si>
    <t>Other Mfg Product &amp; Waste Material</t>
  </si>
  <si>
    <t>Fabricated Metal Product, Machine &amp; Equipment Repair</t>
  </si>
  <si>
    <t>Electricity, Heat Production &amp; Supply</t>
  </si>
  <si>
    <t>Gas Production &amp; Supply</t>
  </si>
  <si>
    <t>Water Production &amp; Supply</t>
  </si>
  <si>
    <t>Construction Industry</t>
  </si>
  <si>
    <t>Wholesale &amp; Retail</t>
  </si>
  <si>
    <t>Transport, Storage &amp; Post</t>
  </si>
  <si>
    <t>Accommodation and Catering</t>
  </si>
  <si>
    <t>Farming, Forestry, Animal Husbandry, Fishery and Services</t>
  </si>
  <si>
    <t>Coal</t>
  </si>
  <si>
    <t>Petroleum &amp; Natural Gas</t>
  </si>
  <si>
    <t>Information Transmission, Software and Information Technology Service</t>
  </si>
  <si>
    <t>Financial Intermediation</t>
  </si>
  <si>
    <t>Real Estate</t>
  </si>
  <si>
    <t>Leasing and Commercial Service</t>
  </si>
  <si>
    <t>Scientific Research &amp; Development</t>
  </si>
  <si>
    <t>Polytechincal Services</t>
  </si>
  <si>
    <t>Water Conservancy, Environment &amp; Utility Management</t>
  </si>
  <si>
    <t>Resident, Repair and Other Services</t>
  </si>
  <si>
    <t>Education</t>
  </si>
  <si>
    <t>Health Care &amp; Social Work</t>
  </si>
  <si>
    <t>Culture, Sport &amp; Entertainment</t>
  </si>
  <si>
    <t>Public Administration, Social Security &amp; Social Organization</t>
  </si>
  <si>
    <t>Domestic</t>
  </si>
  <si>
    <t>Intermediate Use</t>
  </si>
  <si>
    <t>Imported</t>
  </si>
  <si>
    <t>Intermediate Inputs</t>
  </si>
  <si>
    <t>Remuneration of Employee</t>
  </si>
  <si>
    <t>Net Production Tax</t>
  </si>
  <si>
    <t>Depreciation of Fixed Asset</t>
  </si>
  <si>
    <t>Operating Surplus</t>
  </si>
  <si>
    <t>Total Value Added</t>
  </si>
  <si>
    <t>Value Added</t>
  </si>
  <si>
    <t>Total Inputs</t>
  </si>
  <si>
    <t>Fixed Capital</t>
  </si>
  <si>
    <t>Inventory</t>
  </si>
  <si>
    <t>Final Use</t>
  </si>
  <si>
    <t>Final Consumption</t>
  </si>
  <si>
    <t>Export</t>
  </si>
  <si>
    <t>Total Domestic Output</t>
  </si>
  <si>
    <t>Total Output</t>
  </si>
  <si>
    <t>Total Demand</t>
  </si>
  <si>
    <t>Imported Technical Coefficients</t>
  </si>
  <si>
    <t>Domestic Technical Coefficients</t>
  </si>
  <si>
    <t>Total Imported Inputs</t>
  </si>
  <si>
    <t>Total Domestic Inputs</t>
  </si>
  <si>
    <t>TVA / Gross Output</t>
  </si>
  <si>
    <t>Value Added By Gross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</si>
</sst>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38"/>
      <color theme="1"/>
      <name val="Calibri"/>
      <family val="2"/>
      <scheme val="minor"/>
    </font>
    <font>
      <sz val="45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textRotation="90"/>
    </xf>
    <xf numFmtId="0" fontId="4" fillId="0" borderId="0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/>
    </xf>
    <xf numFmtId="0" fontId="0" fillId="0" borderId="3" xfId="0" applyBorder="1"/>
    <xf numFmtId="0" fontId="6" fillId="0" borderId="0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8" fillId="0" borderId="0" xfId="0" applyFont="1" applyAlignment="1">
      <alignment horizontal="center"/>
    </xf>
    <xf numFmtId="0" fontId="8" fillId="0" borderId="0" xfId="0" applyFont="1"/>
    <xf numFmtId="0" fontId="0" fillId="0" borderId="2" xfId="0" applyBorder="1"/>
    <xf numFmtId="0" fontId="0" fillId="0" borderId="7" xfId="0" applyBorder="1"/>
    <xf numFmtId="0" fontId="0" fillId="0" borderId="8" xfId="0" applyBorder="1" applyAlignment="1"/>
    <xf numFmtId="0" fontId="7" fillId="0" borderId="0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9CF6-20EF-426C-B105-3CBAE20FB538}">
  <dimension ref="A1:AY92"/>
  <sheetViews>
    <sheetView zoomScale="60" zoomScaleNormal="60" workbookViewId="0">
      <selection activeCell="AV3" sqref="AV3"/>
    </sheetView>
  </sheetViews>
  <sheetFormatPr defaultRowHeight="15" x14ac:dyDescent="0.25"/>
  <sheetData>
    <row r="1" spans="1:51" ht="49.5" x14ac:dyDescent="0.75">
      <c r="C1" s="13" t="s">
        <v>43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9" t="s">
        <v>55</v>
      </c>
      <c r="AU1" s="10"/>
      <c r="AV1" s="10"/>
      <c r="AW1" s="10"/>
      <c r="AX1" s="10"/>
      <c r="AY1" s="7" t="s">
        <v>59</v>
      </c>
    </row>
    <row r="2" spans="1:51" x14ac:dyDescent="0.25">
      <c r="A2" s="14" t="s">
        <v>45</v>
      </c>
      <c r="B2" s="11" t="s">
        <v>42</v>
      </c>
      <c r="C2" s="1"/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2" t="s">
        <v>41</v>
      </c>
      <c r="AT2" s="6" t="s">
        <v>53</v>
      </c>
      <c r="AU2" s="1" t="s">
        <v>54</v>
      </c>
      <c r="AV2" s="1" t="s">
        <v>55</v>
      </c>
      <c r="AW2" s="1" t="s">
        <v>56</v>
      </c>
      <c r="AX2" s="1" t="s">
        <v>57</v>
      </c>
      <c r="AY2" s="4" t="s">
        <v>58</v>
      </c>
    </row>
    <row r="3" spans="1:51" x14ac:dyDescent="0.25">
      <c r="A3" s="14"/>
      <c r="B3" s="11"/>
      <c r="C3" s="1" t="s">
        <v>0</v>
      </c>
      <c r="D3" s="1">
        <v>49.086973280000002</v>
      </c>
      <c r="E3" s="1">
        <v>2.34059215</v>
      </c>
      <c r="F3" s="1">
        <v>11.51333786</v>
      </c>
      <c r="G3" s="1">
        <v>5.2808198500000003</v>
      </c>
      <c r="H3" s="1">
        <v>0.32563088000000001</v>
      </c>
      <c r="I3" s="1">
        <v>0.43406527</v>
      </c>
      <c r="J3" s="1">
        <v>0.24146725999999999</v>
      </c>
      <c r="K3" s="1">
        <v>2.0390827300000001</v>
      </c>
      <c r="L3" s="1">
        <v>48.42744604</v>
      </c>
      <c r="M3" s="1">
        <v>41.566952929999999</v>
      </c>
      <c r="N3" s="1">
        <v>5.2802265799999999</v>
      </c>
      <c r="O3" s="1">
        <v>16.563548749999999</v>
      </c>
      <c r="P3" s="1">
        <v>7.2035329299999997</v>
      </c>
      <c r="Q3" s="1">
        <v>15.83267264</v>
      </c>
      <c r="R3" s="1">
        <v>1.0592229399999999</v>
      </c>
      <c r="S3" s="1">
        <v>2.9848175000000001</v>
      </c>
      <c r="T3" s="1">
        <v>0.14616699</v>
      </c>
      <c r="U3" s="1">
        <v>0.13056815999999999</v>
      </c>
      <c r="V3" s="1">
        <v>0.55368065</v>
      </c>
      <c r="W3" s="1">
        <v>1.60504124</v>
      </c>
      <c r="X3" s="1">
        <v>64.095959379999996</v>
      </c>
      <c r="Y3" s="1">
        <v>1.3589454700000001</v>
      </c>
      <c r="Z3" s="1">
        <v>1.11113569</v>
      </c>
      <c r="AA3" s="1">
        <v>2.47967447</v>
      </c>
      <c r="AB3" s="1">
        <v>20.702505429999999</v>
      </c>
      <c r="AC3" s="1">
        <v>32.326498239999999</v>
      </c>
      <c r="AD3" s="1">
        <v>2.2833521999999999</v>
      </c>
      <c r="AE3" s="1">
        <v>1.2404245599999999</v>
      </c>
      <c r="AF3" s="1">
        <v>4.8157477100000001</v>
      </c>
      <c r="AG3" s="1">
        <v>0.12810978000000001</v>
      </c>
      <c r="AH3" s="1">
        <v>0.44766784999999998</v>
      </c>
      <c r="AI3" s="1">
        <v>32.146182119999999</v>
      </c>
      <c r="AJ3" s="1">
        <v>0.22702791999999999</v>
      </c>
      <c r="AK3" s="1">
        <v>32.915104509999999</v>
      </c>
      <c r="AL3" s="1">
        <v>0</v>
      </c>
      <c r="AM3" s="1">
        <v>7.7855169699999998</v>
      </c>
      <c r="AN3" s="1">
        <v>2.5761881199999999</v>
      </c>
      <c r="AO3" s="1">
        <v>2.38512784</v>
      </c>
      <c r="AP3" s="1">
        <v>2.5573130100000001</v>
      </c>
      <c r="AQ3" s="1">
        <v>0.69712010000000002</v>
      </c>
      <c r="AR3" s="1">
        <v>0.57526708000000004</v>
      </c>
      <c r="AS3" s="1">
        <v>0.20453621</v>
      </c>
      <c r="AT3" s="4">
        <v>0</v>
      </c>
      <c r="AU3" s="1">
        <v>-104.66135799</v>
      </c>
      <c r="AV3" s="1">
        <v>-101.5862205</v>
      </c>
      <c r="AW3" s="1">
        <v>0</v>
      </c>
      <c r="AX3" s="1">
        <v>3.07513748</v>
      </c>
      <c r="AY3" s="4">
        <v>1202.9960900399999</v>
      </c>
    </row>
    <row r="4" spans="1:51" x14ac:dyDescent="0.25">
      <c r="A4" s="14"/>
      <c r="B4" s="11"/>
      <c r="C4" s="1" t="s">
        <v>1</v>
      </c>
      <c r="D4" s="1">
        <v>19.625348330000001</v>
      </c>
      <c r="E4" s="1">
        <v>1398.5824984599999</v>
      </c>
      <c r="F4" s="1">
        <v>276.39690039999999</v>
      </c>
      <c r="G4" s="1">
        <v>21.410927919999999</v>
      </c>
      <c r="H4" s="1">
        <v>13.09983991</v>
      </c>
      <c r="I4" s="1">
        <v>15.934285190000001</v>
      </c>
      <c r="J4" s="1">
        <v>11.62558915</v>
      </c>
      <c r="K4" s="1">
        <v>80.622596389999998</v>
      </c>
      <c r="L4" s="1">
        <v>177.09005943</v>
      </c>
      <c r="M4" s="1">
        <v>542.29026202</v>
      </c>
      <c r="N4" s="1">
        <v>358.56941277999999</v>
      </c>
      <c r="O4" s="1">
        <v>78.322832529999999</v>
      </c>
      <c r="P4" s="1">
        <v>115.2094671</v>
      </c>
      <c r="Q4" s="1">
        <v>26.886107729999999</v>
      </c>
      <c r="R4" s="1">
        <v>18.112839340000001</v>
      </c>
      <c r="S4" s="1">
        <v>55.088279380000003</v>
      </c>
      <c r="T4" s="1">
        <v>15.125581670000001</v>
      </c>
      <c r="U4" s="1">
        <v>1.0167281800000001</v>
      </c>
      <c r="V4" s="1">
        <v>74.759662599999999</v>
      </c>
      <c r="W4" s="1">
        <v>18.24315928</v>
      </c>
      <c r="X4" s="1">
        <v>282.29742607999998</v>
      </c>
      <c r="Y4" s="1">
        <v>129.96901817</v>
      </c>
      <c r="Z4" s="1">
        <v>9.8438639899999991</v>
      </c>
      <c r="AA4" s="1">
        <v>4.8228894699999998</v>
      </c>
      <c r="AB4" s="1">
        <v>323.29389981000003</v>
      </c>
      <c r="AC4" s="1">
        <v>464.13027920000002</v>
      </c>
      <c r="AD4" s="1">
        <v>19.595980600000001</v>
      </c>
      <c r="AE4" s="1">
        <v>11.12865085</v>
      </c>
      <c r="AF4" s="1">
        <v>407.72897230000001</v>
      </c>
      <c r="AG4" s="1">
        <v>4.8887390599999998</v>
      </c>
      <c r="AH4" s="1">
        <v>3.6504365999999999</v>
      </c>
      <c r="AI4" s="1">
        <v>112.38570532999999</v>
      </c>
      <c r="AJ4" s="1">
        <v>4.5578207400000004</v>
      </c>
      <c r="AK4" s="1">
        <v>151.41158793</v>
      </c>
      <c r="AL4" s="1">
        <v>0</v>
      </c>
      <c r="AM4" s="1">
        <v>34.318410780000001</v>
      </c>
      <c r="AN4" s="1">
        <v>5.5620990800000003</v>
      </c>
      <c r="AO4" s="1">
        <v>27.501417880000002</v>
      </c>
      <c r="AP4" s="1">
        <v>1.0259105799999999</v>
      </c>
      <c r="AQ4" s="1">
        <v>2.7530720899999999</v>
      </c>
      <c r="AR4" s="1">
        <v>7.8502795699999997</v>
      </c>
      <c r="AS4" s="1">
        <v>2.6147077200000002</v>
      </c>
      <c r="AT4" s="4">
        <v>0</v>
      </c>
      <c r="AU4" s="1">
        <v>-82.924728169999995</v>
      </c>
      <c r="AV4" s="1">
        <v>374.72755010999998</v>
      </c>
      <c r="AW4" s="1">
        <v>43.698100859999997</v>
      </c>
      <c r="AX4" s="1">
        <v>413.95417742000001</v>
      </c>
      <c r="AY4" s="4">
        <v>7343.5766809300003</v>
      </c>
    </row>
    <row r="5" spans="1:51" x14ac:dyDescent="0.25">
      <c r="A5" s="14"/>
      <c r="B5" s="11"/>
      <c r="C5" s="1" t="s">
        <v>2</v>
      </c>
      <c r="D5" s="1">
        <v>0</v>
      </c>
      <c r="E5" s="1">
        <v>18.821405030000001</v>
      </c>
      <c r="F5" s="1">
        <v>18.08703349</v>
      </c>
      <c r="G5" s="1">
        <v>3.4347663599999998</v>
      </c>
      <c r="H5" s="1">
        <v>2.26694818</v>
      </c>
      <c r="I5" s="1">
        <v>2.22785148</v>
      </c>
      <c r="J5" s="1">
        <v>0.40439618999999999</v>
      </c>
      <c r="K5" s="1">
        <v>2.07879324</v>
      </c>
      <c r="L5" s="1">
        <v>58.382213229999998</v>
      </c>
      <c r="M5" s="1">
        <v>89.566456020000004</v>
      </c>
      <c r="N5" s="1">
        <v>15.800995929999999</v>
      </c>
      <c r="O5" s="1">
        <v>20.396803890000001</v>
      </c>
      <c r="P5" s="1">
        <v>11.93578857</v>
      </c>
      <c r="Q5" s="1">
        <v>39.303716770000001</v>
      </c>
      <c r="R5" s="1">
        <v>2.6199779300000001</v>
      </c>
      <c r="S5" s="1">
        <v>10.43410119</v>
      </c>
      <c r="T5" s="1">
        <v>0.54372030000000005</v>
      </c>
      <c r="U5" s="1">
        <v>2.13771713</v>
      </c>
      <c r="V5" s="1">
        <v>0.31472991</v>
      </c>
      <c r="W5" s="1">
        <v>1.44770143</v>
      </c>
      <c r="X5" s="1">
        <v>42.663342489999998</v>
      </c>
      <c r="Y5" s="1">
        <v>1.31457552</v>
      </c>
      <c r="Z5" s="1">
        <v>1.0275364499999999</v>
      </c>
      <c r="AA5" s="1">
        <v>2.6045045500000001</v>
      </c>
      <c r="AB5" s="1">
        <v>33.672714740000004</v>
      </c>
      <c r="AC5" s="1">
        <v>37.601079339999998</v>
      </c>
      <c r="AD5" s="1">
        <v>3.0632550200000002</v>
      </c>
      <c r="AE5" s="1">
        <v>0.79212397000000001</v>
      </c>
      <c r="AF5" s="1">
        <v>11.95920918</v>
      </c>
      <c r="AG5" s="1">
        <v>2.4145873999999998</v>
      </c>
      <c r="AH5" s="1">
        <v>0.50696907000000002</v>
      </c>
      <c r="AI5" s="1">
        <v>20.1760439</v>
      </c>
      <c r="AJ5" s="1">
        <v>0.32036827000000001</v>
      </c>
      <c r="AK5" s="1">
        <v>34.806672409999997</v>
      </c>
      <c r="AL5" s="1">
        <v>0</v>
      </c>
      <c r="AM5" s="1">
        <v>12.02195976</v>
      </c>
      <c r="AN5" s="1">
        <v>2.9044883700000002</v>
      </c>
      <c r="AO5" s="1">
        <v>5.3773024100000004</v>
      </c>
      <c r="AP5" s="1">
        <v>0.96531239999999996</v>
      </c>
      <c r="AQ5" s="1">
        <v>0.40840240999999999</v>
      </c>
      <c r="AR5" s="1">
        <v>0.51783358999999995</v>
      </c>
      <c r="AS5" s="1">
        <v>0.26960856999999999</v>
      </c>
      <c r="AT5" s="4">
        <v>0</v>
      </c>
      <c r="AU5" s="1">
        <v>-23.460180130000001</v>
      </c>
      <c r="AV5" s="1">
        <v>4.1469342400000002</v>
      </c>
      <c r="AW5" s="1">
        <v>0</v>
      </c>
      <c r="AX5" s="1">
        <v>27.607114379999999</v>
      </c>
      <c r="AY5" s="4">
        <v>848.42776964999996</v>
      </c>
    </row>
    <row r="6" spans="1:51" x14ac:dyDescent="0.25">
      <c r="A6" s="14"/>
      <c r="B6" s="11"/>
      <c r="C6" s="1" t="s">
        <v>3</v>
      </c>
      <c r="D6" s="1">
        <v>0</v>
      </c>
      <c r="E6" s="1">
        <v>33.62846235</v>
      </c>
      <c r="F6" s="1">
        <v>12.480181529999999</v>
      </c>
      <c r="G6" s="1">
        <v>1393.76657406</v>
      </c>
      <c r="H6" s="1">
        <v>33.266781450000003</v>
      </c>
      <c r="I6" s="1">
        <v>4.6618498800000001</v>
      </c>
      <c r="J6" s="1">
        <v>2.6830624900000002</v>
      </c>
      <c r="K6" s="1">
        <v>141.25792003999999</v>
      </c>
      <c r="L6" s="1">
        <v>16.073187059999999</v>
      </c>
      <c r="M6" s="1">
        <v>207.73558928</v>
      </c>
      <c r="N6" s="1">
        <v>3.2801516899999998</v>
      </c>
      <c r="O6" s="1">
        <v>27.016657980000002</v>
      </c>
      <c r="P6" s="1">
        <v>12.826997889999999</v>
      </c>
      <c r="Q6" s="1">
        <v>12.19951318</v>
      </c>
      <c r="R6" s="1">
        <v>5.13006399</v>
      </c>
      <c r="S6" s="1">
        <v>6.0885453800000002</v>
      </c>
      <c r="T6" s="1">
        <v>3.9842802700000002</v>
      </c>
      <c r="U6" s="1">
        <v>0.47294996</v>
      </c>
      <c r="V6" s="1">
        <v>2.7967749300000002</v>
      </c>
      <c r="W6" s="1">
        <v>4.8566927299999998</v>
      </c>
      <c r="X6" s="1">
        <v>98.614476629999999</v>
      </c>
      <c r="Y6" s="1">
        <v>1.71496165</v>
      </c>
      <c r="Z6" s="1">
        <v>13.26787852</v>
      </c>
      <c r="AA6" s="1">
        <v>6.3575115000000002</v>
      </c>
      <c r="AB6" s="1">
        <v>489.27583033000002</v>
      </c>
      <c r="AC6" s="1">
        <v>331.08659204999998</v>
      </c>
      <c r="AD6" s="1">
        <v>19.962075939999998</v>
      </c>
      <c r="AE6" s="1">
        <v>3722.1950799299998</v>
      </c>
      <c r="AF6" s="1">
        <v>18.205803079999999</v>
      </c>
      <c r="AG6" s="1">
        <v>0</v>
      </c>
      <c r="AH6" s="1">
        <v>12.318596489999999</v>
      </c>
      <c r="AI6" s="1">
        <v>58.440748419999998</v>
      </c>
      <c r="AJ6" s="1">
        <v>3.7543477900000002</v>
      </c>
      <c r="AK6" s="1">
        <v>260.05044966999998</v>
      </c>
      <c r="AL6" s="1">
        <v>0</v>
      </c>
      <c r="AM6" s="1">
        <v>40.312788470000001</v>
      </c>
      <c r="AN6" s="1">
        <v>7.6626246699999996</v>
      </c>
      <c r="AO6" s="1">
        <v>28.459219489999999</v>
      </c>
      <c r="AP6" s="1">
        <v>4.6591270900000001</v>
      </c>
      <c r="AQ6" s="1">
        <v>1.0297624599999999</v>
      </c>
      <c r="AR6" s="1">
        <v>4.2776222199999996</v>
      </c>
      <c r="AS6" s="1">
        <v>1.73106173</v>
      </c>
      <c r="AT6" s="4">
        <v>0</v>
      </c>
      <c r="AU6" s="1">
        <v>94.653997880000006</v>
      </c>
      <c r="AV6" s="1">
        <v>4968.3942947599999</v>
      </c>
      <c r="AW6" s="1">
        <v>4262.31015174</v>
      </c>
      <c r="AX6" s="1">
        <v>611.43014514000004</v>
      </c>
      <c r="AY6" s="4">
        <v>11471.15328237</v>
      </c>
    </row>
    <row r="7" spans="1:51" x14ac:dyDescent="0.25">
      <c r="A7" s="14"/>
      <c r="B7" s="11"/>
      <c r="C7" s="1" t="s">
        <v>4</v>
      </c>
      <c r="D7" s="1">
        <v>0</v>
      </c>
      <c r="E7" s="1">
        <v>2.4074562799999999</v>
      </c>
      <c r="F7" s="1">
        <v>0.18318823000000001</v>
      </c>
      <c r="G7" s="1">
        <v>11.93990382</v>
      </c>
      <c r="H7" s="1">
        <v>804.78135538000004</v>
      </c>
      <c r="I7" s="1">
        <v>6.8712774999999997</v>
      </c>
      <c r="J7" s="1">
        <v>1.46710813</v>
      </c>
      <c r="K7" s="1">
        <v>15.741969360000001</v>
      </c>
      <c r="L7" s="1">
        <v>6.5581835499999999</v>
      </c>
      <c r="M7" s="1">
        <v>566.36449748999996</v>
      </c>
      <c r="N7" s="1">
        <v>8.7004230099999997</v>
      </c>
      <c r="O7" s="1">
        <v>8.8062125400000006</v>
      </c>
      <c r="P7" s="1">
        <v>6.7415535599999998</v>
      </c>
      <c r="Q7" s="1">
        <v>16.361131660000002</v>
      </c>
      <c r="R7" s="1">
        <v>1.8871867499999999</v>
      </c>
      <c r="S7" s="1">
        <v>3.0591197999999999</v>
      </c>
      <c r="T7" s="1">
        <v>1.69531553</v>
      </c>
      <c r="U7" s="1">
        <v>0.86087817</v>
      </c>
      <c r="V7" s="1">
        <v>2.4477332299999999</v>
      </c>
      <c r="W7" s="1">
        <v>1.4921164600000001</v>
      </c>
      <c r="X7" s="1">
        <v>111.23433037</v>
      </c>
      <c r="Y7" s="1">
        <v>1.2671342000000001</v>
      </c>
      <c r="Z7" s="1">
        <v>5.2801082199999998</v>
      </c>
      <c r="AA7" s="1">
        <v>2.2491551900000002</v>
      </c>
      <c r="AB7" s="1">
        <v>147.72136732999999</v>
      </c>
      <c r="AC7" s="1">
        <v>108.76086492</v>
      </c>
      <c r="AD7" s="1">
        <v>5.0486073300000003</v>
      </c>
      <c r="AE7" s="1">
        <v>276.68061017000002</v>
      </c>
      <c r="AF7" s="1">
        <v>8.4506715999999997</v>
      </c>
      <c r="AG7" s="1">
        <v>0</v>
      </c>
      <c r="AH7" s="1">
        <v>2.4942047899999999</v>
      </c>
      <c r="AI7" s="1">
        <v>30.646972559999998</v>
      </c>
      <c r="AJ7" s="1">
        <v>1.4353042499999999</v>
      </c>
      <c r="AK7" s="1">
        <v>39.122260750000002</v>
      </c>
      <c r="AL7" s="1">
        <v>0</v>
      </c>
      <c r="AM7" s="1">
        <v>10.49926464</v>
      </c>
      <c r="AN7" s="1">
        <v>2.0030505000000001</v>
      </c>
      <c r="AO7" s="1">
        <v>7.8892052499999998</v>
      </c>
      <c r="AP7" s="1">
        <v>1.2380305700000001</v>
      </c>
      <c r="AQ7" s="1">
        <v>0.48556113000000001</v>
      </c>
      <c r="AR7" s="1">
        <v>1.78203782</v>
      </c>
      <c r="AS7" s="1">
        <v>0.78193608000000003</v>
      </c>
      <c r="AT7" s="4">
        <v>0</v>
      </c>
      <c r="AU7" s="1">
        <v>-3.39048398</v>
      </c>
      <c r="AV7" s="1">
        <v>883.75799035</v>
      </c>
      <c r="AW7" s="1">
        <v>127.08005110000001</v>
      </c>
      <c r="AX7" s="1">
        <v>760.06842324000002</v>
      </c>
      <c r="AY7" s="4">
        <v>3062.8679777299999</v>
      </c>
    </row>
    <row r="8" spans="1:51" x14ac:dyDescent="0.25">
      <c r="A8" s="14"/>
      <c r="B8" s="11"/>
      <c r="C8" s="1" t="s">
        <v>5</v>
      </c>
      <c r="D8" s="1">
        <v>0</v>
      </c>
      <c r="E8" s="1">
        <v>4.4873580400000002</v>
      </c>
      <c r="F8" s="1">
        <v>0.17425968</v>
      </c>
      <c r="G8" s="1">
        <v>22.39518095</v>
      </c>
      <c r="H8" s="1">
        <v>879.46743171000003</v>
      </c>
      <c r="I8" s="1">
        <v>263.52603377999998</v>
      </c>
      <c r="J8" s="1">
        <v>1.8865455799999999</v>
      </c>
      <c r="K8" s="1">
        <v>30.015904469999999</v>
      </c>
      <c r="L8" s="1">
        <v>4.4057420399999998</v>
      </c>
      <c r="M8" s="1">
        <v>224.27649792</v>
      </c>
      <c r="N8" s="1">
        <v>3.0283078400000001</v>
      </c>
      <c r="O8" s="1">
        <v>8.45208227</v>
      </c>
      <c r="P8" s="1">
        <v>3.3671125200000001</v>
      </c>
      <c r="Q8" s="1">
        <v>21.491781880000001</v>
      </c>
      <c r="R8" s="1">
        <v>1.4344272199999999</v>
      </c>
      <c r="S8" s="1">
        <v>2.46109936</v>
      </c>
      <c r="T8" s="1">
        <v>2.8234879300000002</v>
      </c>
      <c r="U8" s="1">
        <v>0.15208036</v>
      </c>
      <c r="V8" s="1">
        <v>20.074526110000001</v>
      </c>
      <c r="W8" s="1">
        <v>0.53528942000000002</v>
      </c>
      <c r="X8" s="1">
        <v>37.228250350000003</v>
      </c>
      <c r="Y8" s="1">
        <v>0.32058154</v>
      </c>
      <c r="Z8" s="1">
        <v>4.2963646200000003</v>
      </c>
      <c r="AA8" s="1">
        <v>2.1807673699999999</v>
      </c>
      <c r="AB8" s="1">
        <v>262.22228044000002</v>
      </c>
      <c r="AC8" s="1">
        <v>112.84427753</v>
      </c>
      <c r="AD8" s="1">
        <v>7.4690139100000001</v>
      </c>
      <c r="AE8" s="1">
        <v>105.38951319</v>
      </c>
      <c r="AF8" s="1">
        <v>1.89419526</v>
      </c>
      <c r="AG8" s="1">
        <v>0</v>
      </c>
      <c r="AH8" s="1">
        <v>4.65846334</v>
      </c>
      <c r="AI8" s="1">
        <v>15.02371911</v>
      </c>
      <c r="AJ8" s="1">
        <v>3.1855749800000002</v>
      </c>
      <c r="AK8" s="1">
        <v>71.524626100000006</v>
      </c>
      <c r="AL8" s="1">
        <v>0</v>
      </c>
      <c r="AM8" s="1">
        <v>16.465889440000002</v>
      </c>
      <c r="AN8" s="1">
        <v>2.1506061700000001</v>
      </c>
      <c r="AO8" s="1">
        <v>9.0461635499999993</v>
      </c>
      <c r="AP8" s="1">
        <v>1.31347298</v>
      </c>
      <c r="AQ8" s="1">
        <v>0.72249304000000003</v>
      </c>
      <c r="AR8" s="1">
        <v>2.6860581300000002</v>
      </c>
      <c r="AS8" s="1">
        <v>0.73593969000000004</v>
      </c>
      <c r="AT8" s="4">
        <v>0</v>
      </c>
      <c r="AU8" s="1">
        <v>19.674795190000001</v>
      </c>
      <c r="AV8" s="1">
        <v>2458.6632265799999</v>
      </c>
      <c r="AW8" s="1">
        <v>1263.77921406</v>
      </c>
      <c r="AX8" s="1">
        <v>1175.20921733</v>
      </c>
      <c r="AY8" s="4">
        <v>3356.30636254</v>
      </c>
    </row>
    <row r="9" spans="1:51" x14ac:dyDescent="0.25">
      <c r="A9" s="14"/>
      <c r="B9" s="11"/>
      <c r="C9" s="1" t="s">
        <v>6</v>
      </c>
      <c r="D9" s="1">
        <v>0</v>
      </c>
      <c r="E9" s="1">
        <v>17.095397349999999</v>
      </c>
      <c r="F9" s="1">
        <v>5.4682558400000003</v>
      </c>
      <c r="G9" s="1">
        <v>12.290539519999999</v>
      </c>
      <c r="H9" s="1">
        <v>29.310613629999999</v>
      </c>
      <c r="I9" s="1">
        <v>19.131642589999998</v>
      </c>
      <c r="J9" s="1">
        <v>669.04253368000002</v>
      </c>
      <c r="K9" s="1">
        <v>28.981637490000001</v>
      </c>
      <c r="L9" s="1">
        <v>13.90284647</v>
      </c>
      <c r="M9" s="1">
        <v>138.01064898999999</v>
      </c>
      <c r="N9" s="1">
        <v>38.59269784</v>
      </c>
      <c r="O9" s="1">
        <v>40.125939539999997</v>
      </c>
      <c r="P9" s="1">
        <v>16.067225029999999</v>
      </c>
      <c r="Q9" s="1">
        <v>17.694121389999999</v>
      </c>
      <c r="R9" s="1">
        <v>2.16340931</v>
      </c>
      <c r="S9" s="1">
        <v>5.2539769999999999</v>
      </c>
      <c r="T9" s="1">
        <v>3.7418423500000002</v>
      </c>
      <c r="U9" s="1">
        <v>0.22976012000000001</v>
      </c>
      <c r="V9" s="1">
        <v>3.7516044100000001</v>
      </c>
      <c r="W9" s="1">
        <v>1.23988111</v>
      </c>
      <c r="X9" s="1">
        <v>37.516283100000003</v>
      </c>
      <c r="Y9" s="1">
        <v>8.1553760000000003E-2</v>
      </c>
      <c r="Z9" s="1">
        <v>3.3870782099999999</v>
      </c>
      <c r="AA9" s="1">
        <v>2.6581560299999998</v>
      </c>
      <c r="AB9" s="1">
        <v>293.08576338</v>
      </c>
      <c r="AC9" s="1">
        <v>135.99101317</v>
      </c>
      <c r="AD9" s="1">
        <v>8.4543152799999994</v>
      </c>
      <c r="AE9" s="1">
        <v>311.40312276999998</v>
      </c>
      <c r="AF9" s="1">
        <v>0.75532690000000002</v>
      </c>
      <c r="AG9" s="1">
        <v>0</v>
      </c>
      <c r="AH9" s="1">
        <v>3.0675993099999999</v>
      </c>
      <c r="AI9" s="1">
        <v>22.749041829999999</v>
      </c>
      <c r="AJ9" s="1">
        <v>2.7201270499999999</v>
      </c>
      <c r="AK9" s="1">
        <v>63.298011340000002</v>
      </c>
      <c r="AL9" s="1">
        <v>0</v>
      </c>
      <c r="AM9" s="1">
        <v>10.987776849999999</v>
      </c>
      <c r="AN9" s="1">
        <v>1.9990114999999999</v>
      </c>
      <c r="AO9" s="1">
        <v>8.3589985599999999</v>
      </c>
      <c r="AP9" s="1">
        <v>0.86250607000000001</v>
      </c>
      <c r="AQ9" s="1">
        <v>0.65035430000000005</v>
      </c>
      <c r="AR9" s="1">
        <v>1.9689391199999999</v>
      </c>
      <c r="AS9" s="1">
        <v>0.53292899000000005</v>
      </c>
      <c r="AT9" s="4">
        <v>344.23999541000001</v>
      </c>
      <c r="AU9" s="1">
        <v>86.967642069999997</v>
      </c>
      <c r="AV9" s="1">
        <v>1060.4950169399999</v>
      </c>
      <c r="AW9" s="1">
        <v>217.33240502000001</v>
      </c>
      <c r="AX9" s="1">
        <v>411.95497444</v>
      </c>
      <c r="AY9" s="4">
        <v>2914.6926797000001</v>
      </c>
    </row>
    <row r="10" spans="1:51" x14ac:dyDescent="0.25">
      <c r="A10" s="14"/>
      <c r="B10" s="11"/>
      <c r="C10" s="1" t="s">
        <v>7</v>
      </c>
      <c r="D10" s="1">
        <v>0</v>
      </c>
      <c r="E10" s="1">
        <v>9.7121908599999998</v>
      </c>
      <c r="F10" s="1">
        <v>4.7837860299999999</v>
      </c>
      <c r="G10" s="1">
        <v>13.03629656</v>
      </c>
      <c r="H10" s="1">
        <v>85.502577790000004</v>
      </c>
      <c r="I10" s="1">
        <v>14.119332480000001</v>
      </c>
      <c r="J10" s="1">
        <v>55.049348289999998</v>
      </c>
      <c r="K10" s="1">
        <v>655.48461698999995</v>
      </c>
      <c r="L10" s="1">
        <v>10.960638510000001</v>
      </c>
      <c r="M10" s="1">
        <v>454.79403328000001</v>
      </c>
      <c r="N10" s="1">
        <v>189.07452925000001</v>
      </c>
      <c r="O10" s="1">
        <v>22.189959930000001</v>
      </c>
      <c r="P10" s="1">
        <v>16.512641169999998</v>
      </c>
      <c r="Q10" s="1">
        <v>47.851755740000002</v>
      </c>
      <c r="R10" s="1">
        <v>3.5691348000000001</v>
      </c>
      <c r="S10" s="1">
        <v>12.345236209999999</v>
      </c>
      <c r="T10" s="1">
        <v>15.564726950000001</v>
      </c>
      <c r="U10" s="1">
        <v>1.34158687</v>
      </c>
      <c r="V10" s="1">
        <v>134.20921435</v>
      </c>
      <c r="W10" s="1">
        <v>5.0185727499999997</v>
      </c>
      <c r="X10" s="1">
        <v>90.990957800000004</v>
      </c>
      <c r="Y10" s="1">
        <v>9.1586809900000006</v>
      </c>
      <c r="Z10" s="1">
        <v>5.5728688699999998</v>
      </c>
      <c r="AA10" s="1">
        <v>3.9757265099999999</v>
      </c>
      <c r="AB10" s="1">
        <v>256.60422155999998</v>
      </c>
      <c r="AC10" s="1">
        <v>196.34615782</v>
      </c>
      <c r="AD10" s="1">
        <v>9.6762528200000002</v>
      </c>
      <c r="AE10" s="1">
        <v>264.94469736000002</v>
      </c>
      <c r="AF10" s="1">
        <v>23.73374098</v>
      </c>
      <c r="AG10" s="1">
        <v>0</v>
      </c>
      <c r="AH10" s="1">
        <v>5.7496041199999999</v>
      </c>
      <c r="AI10" s="1">
        <v>31.450492969999999</v>
      </c>
      <c r="AJ10" s="1">
        <v>2.4394882600000001</v>
      </c>
      <c r="AK10" s="1">
        <v>87.565798220000005</v>
      </c>
      <c r="AL10" s="1">
        <v>0</v>
      </c>
      <c r="AM10" s="1">
        <v>15.101203379999999</v>
      </c>
      <c r="AN10" s="1">
        <v>9.0930744099999998</v>
      </c>
      <c r="AO10" s="1">
        <v>15.14961628</v>
      </c>
      <c r="AP10" s="1">
        <v>0.98390096000000005</v>
      </c>
      <c r="AQ10" s="1">
        <v>0.96369196000000001</v>
      </c>
      <c r="AR10" s="1">
        <v>3.64679566</v>
      </c>
      <c r="AS10" s="1">
        <v>0.90965079999999998</v>
      </c>
      <c r="AT10" s="4">
        <v>100.45332677</v>
      </c>
      <c r="AU10" s="1">
        <v>-17.929891000000001</v>
      </c>
      <c r="AV10" s="1">
        <v>1321.6229384799999</v>
      </c>
      <c r="AW10" s="1">
        <v>444.48773349999999</v>
      </c>
      <c r="AX10" s="1">
        <v>794.61176921000003</v>
      </c>
      <c r="AY10" s="4">
        <v>4537.9094515899997</v>
      </c>
    </row>
    <row r="11" spans="1:51" x14ac:dyDescent="0.25">
      <c r="A11" s="14"/>
      <c r="B11" s="11"/>
      <c r="C11" s="1" t="s">
        <v>8</v>
      </c>
      <c r="D11" s="1">
        <v>2.0601886199999999</v>
      </c>
      <c r="E11" s="1">
        <v>46.898708829999997</v>
      </c>
      <c r="F11" s="1">
        <v>1.9372907699999999</v>
      </c>
      <c r="G11" s="1">
        <v>9.0359543799999997</v>
      </c>
      <c r="H11" s="1">
        <v>0.50294488000000004</v>
      </c>
      <c r="I11" s="1">
        <v>0.85715282999999998</v>
      </c>
      <c r="J11" s="1">
        <v>1.3602692000000001</v>
      </c>
      <c r="K11" s="1">
        <v>2.2115231400000002</v>
      </c>
      <c r="L11" s="1">
        <v>88.250778949999997</v>
      </c>
      <c r="M11" s="1">
        <v>77.542769179999993</v>
      </c>
      <c r="N11" s="1">
        <v>1.5278373000000001</v>
      </c>
      <c r="O11" s="1">
        <v>2.97928149</v>
      </c>
      <c r="P11" s="1">
        <v>5.5734381099999997</v>
      </c>
      <c r="Q11" s="1">
        <v>1.81171174</v>
      </c>
      <c r="R11" s="1">
        <v>2.19824595</v>
      </c>
      <c r="S11" s="1">
        <v>0.74004601999999997</v>
      </c>
      <c r="T11" s="1">
        <v>0.18178722</v>
      </c>
      <c r="U11" s="1">
        <v>1.0519384300000001</v>
      </c>
      <c r="V11" s="1">
        <v>1.47939916</v>
      </c>
      <c r="W11" s="1">
        <v>5.8017596500000002</v>
      </c>
      <c r="X11" s="1">
        <v>121.9589936</v>
      </c>
      <c r="Y11" s="1">
        <v>2.9697703299999998</v>
      </c>
      <c r="Z11" s="1">
        <v>5.6821529599999998</v>
      </c>
      <c r="AA11" s="1">
        <v>1.1517339499999999</v>
      </c>
      <c r="AB11" s="1">
        <v>84.077669180000001</v>
      </c>
      <c r="AC11" s="1">
        <v>159.90794958999999</v>
      </c>
      <c r="AD11" s="1">
        <v>1.2562783099999999</v>
      </c>
      <c r="AE11" s="1">
        <v>20.864242690000001</v>
      </c>
      <c r="AF11" s="1">
        <v>531.58349174</v>
      </c>
      <c r="AG11" s="1">
        <v>805.40689766000003</v>
      </c>
      <c r="AH11" s="1">
        <v>0.58445685999999997</v>
      </c>
      <c r="AI11" s="1">
        <v>33.840476649999999</v>
      </c>
      <c r="AJ11" s="1">
        <v>0.13778083999999999</v>
      </c>
      <c r="AK11" s="1">
        <v>79.401969649999998</v>
      </c>
      <c r="AL11" s="1">
        <v>0</v>
      </c>
      <c r="AM11" s="1">
        <v>15.45599019</v>
      </c>
      <c r="AN11" s="1">
        <v>3.7578158300000002</v>
      </c>
      <c r="AO11" s="1">
        <v>15.72806946</v>
      </c>
      <c r="AP11" s="1">
        <v>0.19663797</v>
      </c>
      <c r="AQ11" s="1">
        <v>4.8769775800000001</v>
      </c>
      <c r="AR11" s="1">
        <v>1.2062588000000001</v>
      </c>
      <c r="AS11" s="1">
        <v>0.40341334000000001</v>
      </c>
      <c r="AT11" s="4">
        <v>0</v>
      </c>
      <c r="AU11" s="1">
        <v>-7.9590252499999998</v>
      </c>
      <c r="AV11" s="1">
        <v>646.70098853000002</v>
      </c>
      <c r="AW11" s="1">
        <v>379.13451264000003</v>
      </c>
      <c r="AX11" s="1">
        <v>275.52550115000003</v>
      </c>
      <c r="AY11" s="4">
        <v>5643.6576493700004</v>
      </c>
    </row>
    <row r="12" spans="1:51" x14ac:dyDescent="0.25">
      <c r="A12" s="14"/>
      <c r="B12" s="11"/>
      <c r="C12" s="1" t="s">
        <v>9</v>
      </c>
      <c r="D12" s="1">
        <v>89.481873949999994</v>
      </c>
      <c r="E12" s="1">
        <v>85.014258909999995</v>
      </c>
      <c r="F12" s="1">
        <v>92.494701899999995</v>
      </c>
      <c r="G12" s="1">
        <v>229.29413779999999</v>
      </c>
      <c r="H12" s="1">
        <v>80.022292179999994</v>
      </c>
      <c r="I12" s="1">
        <v>16.589655449999999</v>
      </c>
      <c r="J12" s="1">
        <v>12.90430372</v>
      </c>
      <c r="K12" s="1">
        <v>125.4864481</v>
      </c>
      <c r="L12" s="1">
        <v>796.30670067999995</v>
      </c>
      <c r="M12" s="1">
        <v>5541.11871668</v>
      </c>
      <c r="N12" s="1">
        <v>166.65140002000001</v>
      </c>
      <c r="O12" s="1">
        <v>78.112376139999995</v>
      </c>
      <c r="P12" s="1">
        <v>63.85857335</v>
      </c>
      <c r="Q12" s="1">
        <v>40.721373479999997</v>
      </c>
      <c r="R12" s="1">
        <v>7.99476795</v>
      </c>
      <c r="S12" s="1">
        <v>26.513205620000001</v>
      </c>
      <c r="T12" s="1">
        <v>31.942281999999999</v>
      </c>
      <c r="U12" s="1">
        <v>7.85795084</v>
      </c>
      <c r="V12" s="1">
        <v>58.025955799999998</v>
      </c>
      <c r="W12" s="1">
        <v>20.302227500000001</v>
      </c>
      <c r="X12" s="1">
        <v>738.29957532000003</v>
      </c>
      <c r="Y12" s="1">
        <v>66.332144779999993</v>
      </c>
      <c r="Z12" s="1">
        <v>23.596686680000001</v>
      </c>
      <c r="AA12" s="1">
        <v>14.21640691</v>
      </c>
      <c r="AB12" s="1">
        <v>792.85460469999998</v>
      </c>
      <c r="AC12" s="1">
        <v>718.43083149999995</v>
      </c>
      <c r="AD12" s="1">
        <v>63.866955310000002</v>
      </c>
      <c r="AE12" s="1">
        <v>568.56995129999996</v>
      </c>
      <c r="AF12" s="1">
        <v>367.97858671</v>
      </c>
      <c r="AG12" s="1">
        <v>455.28897093</v>
      </c>
      <c r="AH12" s="1">
        <v>13.68115607</v>
      </c>
      <c r="AI12" s="1">
        <v>174.52225697</v>
      </c>
      <c r="AJ12" s="1">
        <v>5.8786144199999999</v>
      </c>
      <c r="AK12" s="1">
        <v>376.99415426000002</v>
      </c>
      <c r="AL12" s="1">
        <v>0</v>
      </c>
      <c r="AM12" s="1">
        <v>110.21198386</v>
      </c>
      <c r="AN12" s="1">
        <v>13.82602666</v>
      </c>
      <c r="AO12" s="1">
        <v>59.531132049999997</v>
      </c>
      <c r="AP12" s="1">
        <v>1.1201476299999999</v>
      </c>
      <c r="AQ12" s="1">
        <v>1.9919804800000001</v>
      </c>
      <c r="AR12" s="1">
        <v>11.505774130000001</v>
      </c>
      <c r="AS12" s="1">
        <v>3.7419540499999999</v>
      </c>
      <c r="AT12" s="4">
        <v>0</v>
      </c>
      <c r="AU12" s="1">
        <v>-196.41881708</v>
      </c>
      <c r="AV12" s="1">
        <v>3195.6440756799998</v>
      </c>
      <c r="AW12" s="1">
        <v>1194.94853128</v>
      </c>
      <c r="AX12" s="1">
        <v>2197.1143614799998</v>
      </c>
      <c r="AY12" s="4">
        <v>17901.23235468</v>
      </c>
    </row>
    <row r="13" spans="1:51" x14ac:dyDescent="0.25">
      <c r="A13" s="14"/>
      <c r="B13" s="11"/>
      <c r="C13" s="1" t="s">
        <v>10</v>
      </c>
      <c r="D13" s="1">
        <v>1091.2558193299999</v>
      </c>
      <c r="E13" s="1">
        <v>217.44321029</v>
      </c>
      <c r="F13" s="1">
        <v>6.19573033</v>
      </c>
      <c r="G13" s="1">
        <v>88.443059629999993</v>
      </c>
      <c r="H13" s="1">
        <v>5.38869446</v>
      </c>
      <c r="I13" s="1">
        <v>5.66076683</v>
      </c>
      <c r="J13" s="1">
        <v>1.8411168099999999</v>
      </c>
      <c r="K13" s="1">
        <v>14.662783449999999</v>
      </c>
      <c r="L13" s="1">
        <v>778.16395254999998</v>
      </c>
      <c r="M13" s="1">
        <v>183.90647781999999</v>
      </c>
      <c r="N13" s="1">
        <v>3821.9622697999998</v>
      </c>
      <c r="O13" s="1">
        <v>43.970308189999997</v>
      </c>
      <c r="P13" s="1">
        <v>98.386424500000004</v>
      </c>
      <c r="Q13" s="1">
        <v>59.126297809999997</v>
      </c>
      <c r="R13" s="1">
        <v>8.1238896199999999</v>
      </c>
      <c r="S13" s="1">
        <v>26.45075434</v>
      </c>
      <c r="T13" s="1">
        <v>9.01579145</v>
      </c>
      <c r="U13" s="1">
        <v>4.8876760600000004</v>
      </c>
      <c r="V13" s="1">
        <v>723.08469845000002</v>
      </c>
      <c r="W13" s="1">
        <v>21.68531372</v>
      </c>
      <c r="X13" s="1">
        <v>1105.5115963200001</v>
      </c>
      <c r="Y13" s="1">
        <v>87.444379459999993</v>
      </c>
      <c r="Z13" s="1">
        <v>16.254584810000001</v>
      </c>
      <c r="AA13" s="1">
        <v>4.3253636699999998</v>
      </c>
      <c r="AB13" s="1">
        <v>301.83676417999999</v>
      </c>
      <c r="AC13" s="1">
        <v>692.16663805999997</v>
      </c>
      <c r="AD13" s="1">
        <v>40.907314069999998</v>
      </c>
      <c r="AE13" s="1">
        <v>11.999307330000001</v>
      </c>
      <c r="AF13" s="1">
        <v>467.04540035000002</v>
      </c>
      <c r="AG13" s="1">
        <v>1.4707497</v>
      </c>
      <c r="AH13" s="1">
        <v>2.9521943799999999</v>
      </c>
      <c r="AI13" s="1">
        <v>360.64189027999998</v>
      </c>
      <c r="AJ13" s="1">
        <v>0.80606310000000003</v>
      </c>
      <c r="AK13" s="1">
        <v>296.79510685999998</v>
      </c>
      <c r="AL13" s="1">
        <v>0</v>
      </c>
      <c r="AM13" s="1">
        <v>58.465054549999998</v>
      </c>
      <c r="AN13" s="1">
        <v>15.38067083</v>
      </c>
      <c r="AO13" s="1">
        <v>37.76903385</v>
      </c>
      <c r="AP13" s="1">
        <v>0.67984853999999995</v>
      </c>
      <c r="AQ13" s="1">
        <v>4.4827663099999997</v>
      </c>
      <c r="AR13" s="1">
        <v>8.0731803000000006</v>
      </c>
      <c r="AS13" s="1">
        <v>1.7338234800000001</v>
      </c>
      <c r="AT13" s="4">
        <v>0</v>
      </c>
      <c r="AU13" s="1">
        <v>63.892591750000001</v>
      </c>
      <c r="AV13" s="1">
        <v>876.34831096000005</v>
      </c>
      <c r="AW13" s="1">
        <v>0</v>
      </c>
      <c r="AX13" s="1">
        <v>812.45571921999999</v>
      </c>
      <c r="AY13" s="4">
        <v>15213.68055861</v>
      </c>
    </row>
    <row r="14" spans="1:51" x14ac:dyDescent="0.25">
      <c r="A14" s="14"/>
      <c r="B14" s="11"/>
      <c r="C14" s="1" t="s">
        <v>11</v>
      </c>
      <c r="D14" s="1">
        <v>45.597791100000002</v>
      </c>
      <c r="E14" s="1">
        <v>71.795125400000003</v>
      </c>
      <c r="F14" s="1">
        <v>9.7334479300000005</v>
      </c>
      <c r="G14" s="1">
        <v>22.033659310000001</v>
      </c>
      <c r="H14" s="1">
        <v>10.62904618</v>
      </c>
      <c r="I14" s="1">
        <v>4.8264788200000002</v>
      </c>
      <c r="J14" s="1">
        <v>36.005621419999997</v>
      </c>
      <c r="K14" s="1">
        <v>28.080443580000001</v>
      </c>
      <c r="L14" s="1">
        <v>61.109742619999999</v>
      </c>
      <c r="M14" s="1">
        <v>206.05997572000001</v>
      </c>
      <c r="N14" s="1">
        <v>2029.5877084199999</v>
      </c>
      <c r="O14" s="1">
        <v>991.39151289999995</v>
      </c>
      <c r="P14" s="1">
        <v>151.55905175000001</v>
      </c>
      <c r="Q14" s="1">
        <v>56.798207570000002</v>
      </c>
      <c r="R14" s="1">
        <v>6.6357294900000001</v>
      </c>
      <c r="S14" s="1">
        <v>34.274119030000001</v>
      </c>
      <c r="T14" s="1">
        <v>25.2353092</v>
      </c>
      <c r="U14" s="1">
        <v>3.2413027900000002</v>
      </c>
      <c r="V14" s="1">
        <v>123.13372552</v>
      </c>
      <c r="W14" s="1">
        <v>5.0870182000000002</v>
      </c>
      <c r="X14" s="1">
        <v>150.24320008000001</v>
      </c>
      <c r="Y14" s="1">
        <v>36.496922269999999</v>
      </c>
      <c r="Z14" s="1">
        <v>8.18101156</v>
      </c>
      <c r="AA14" s="1">
        <v>3.5539837799999998</v>
      </c>
      <c r="AB14" s="1">
        <v>230.60582267999999</v>
      </c>
      <c r="AC14" s="1">
        <v>266.88554988999999</v>
      </c>
      <c r="AD14" s="1">
        <v>15.59913304</v>
      </c>
      <c r="AE14" s="1">
        <v>8.0361526399999992</v>
      </c>
      <c r="AF14" s="1">
        <v>6.8722289999999999</v>
      </c>
      <c r="AG14" s="1">
        <v>3.911887E-2</v>
      </c>
      <c r="AH14" s="1">
        <v>4.3632999699999999</v>
      </c>
      <c r="AI14" s="1">
        <v>44.762958099999999</v>
      </c>
      <c r="AJ14" s="1">
        <v>3.2186119799999999</v>
      </c>
      <c r="AK14" s="1">
        <v>139.04061748999999</v>
      </c>
      <c r="AL14" s="1">
        <v>0</v>
      </c>
      <c r="AM14" s="1">
        <v>25.514452550000001</v>
      </c>
      <c r="AN14" s="1">
        <v>4.8323269299999998</v>
      </c>
      <c r="AO14" s="1">
        <v>20.610047420000001</v>
      </c>
      <c r="AP14" s="1">
        <v>0.39864010999999999</v>
      </c>
      <c r="AQ14" s="1">
        <v>3.8281900100000001</v>
      </c>
      <c r="AR14" s="1">
        <v>3.2433967400000001</v>
      </c>
      <c r="AS14" s="1">
        <v>1.8158139200000001</v>
      </c>
      <c r="AT14" s="4">
        <v>413.68620320999997</v>
      </c>
      <c r="AU14" s="1">
        <v>151.19560218999999</v>
      </c>
      <c r="AV14" s="1">
        <v>1507.3319308299999</v>
      </c>
      <c r="AW14" s="1">
        <v>73.521628280000002</v>
      </c>
      <c r="AX14" s="1">
        <v>868.92849716000001</v>
      </c>
      <c r="AY14" s="4">
        <v>6664.1246757500003</v>
      </c>
    </row>
    <row r="15" spans="1:51" x14ac:dyDescent="0.25">
      <c r="A15" s="14"/>
      <c r="B15" s="11"/>
      <c r="C15" s="1" t="s">
        <v>12</v>
      </c>
      <c r="D15" s="1">
        <v>0</v>
      </c>
      <c r="E15" s="1">
        <v>28.951628240000002</v>
      </c>
      <c r="F15" s="1">
        <v>2.5615526800000001</v>
      </c>
      <c r="G15" s="1">
        <v>36.94845377</v>
      </c>
      <c r="H15" s="1">
        <v>7.1114076700000002</v>
      </c>
      <c r="I15" s="1">
        <v>5.8468717400000001</v>
      </c>
      <c r="J15" s="1">
        <v>9.15541056</v>
      </c>
      <c r="K15" s="1">
        <v>27.837037840000001</v>
      </c>
      <c r="L15" s="1">
        <v>25.487081150000002</v>
      </c>
      <c r="M15" s="1">
        <v>151.79560703999999</v>
      </c>
      <c r="N15" s="1">
        <v>1014.18925588</v>
      </c>
      <c r="O15" s="1">
        <v>396.05216658000001</v>
      </c>
      <c r="P15" s="1">
        <v>1305.9319508799999</v>
      </c>
      <c r="Q15" s="1">
        <v>64.416007329999999</v>
      </c>
      <c r="R15" s="1">
        <v>43.588895399999998</v>
      </c>
      <c r="S15" s="1">
        <v>328.31308725000002</v>
      </c>
      <c r="T15" s="1">
        <v>234.34917236000001</v>
      </c>
      <c r="U15" s="1">
        <v>34.919462660000001</v>
      </c>
      <c r="V15" s="1">
        <v>6.6121801400000004</v>
      </c>
      <c r="W15" s="1">
        <v>9.72457481</v>
      </c>
      <c r="X15" s="1">
        <v>75.849057970000004</v>
      </c>
      <c r="Y15" s="1">
        <v>10.595242389999999</v>
      </c>
      <c r="Z15" s="1">
        <v>8.2978202499999991</v>
      </c>
      <c r="AA15" s="1">
        <v>5.5051692399999999</v>
      </c>
      <c r="AB15" s="1">
        <v>288.76040221</v>
      </c>
      <c r="AC15" s="1">
        <v>260.17735885000002</v>
      </c>
      <c r="AD15" s="1">
        <v>24.603262869999998</v>
      </c>
      <c r="AE15" s="1">
        <v>9.9848292500000007</v>
      </c>
      <c r="AF15" s="1">
        <v>0.55013608999999997</v>
      </c>
      <c r="AG15" s="1">
        <v>0.45685647000000001</v>
      </c>
      <c r="AH15" s="1">
        <v>9.0249456299999995</v>
      </c>
      <c r="AI15" s="1">
        <v>27.564529719999999</v>
      </c>
      <c r="AJ15" s="1">
        <v>4.3086010200000002</v>
      </c>
      <c r="AK15" s="1">
        <v>154.41047773</v>
      </c>
      <c r="AL15" s="1">
        <v>0</v>
      </c>
      <c r="AM15" s="1">
        <v>34.433278899999998</v>
      </c>
      <c r="AN15" s="1">
        <v>4.8251154300000003</v>
      </c>
      <c r="AO15" s="1">
        <v>23.470094339999999</v>
      </c>
      <c r="AP15" s="1">
        <v>0.60564722999999998</v>
      </c>
      <c r="AQ15" s="1">
        <v>5.1536817700000004</v>
      </c>
      <c r="AR15" s="1">
        <v>8.2741470499999998</v>
      </c>
      <c r="AS15" s="1">
        <v>1.85003151</v>
      </c>
      <c r="AT15" s="4">
        <v>1544.7475667900001</v>
      </c>
      <c r="AU15" s="1">
        <v>34.142275660000003</v>
      </c>
      <c r="AV15" s="1">
        <v>2893.39868789</v>
      </c>
      <c r="AW15" s="1">
        <v>2.0660082000000002</v>
      </c>
      <c r="AX15" s="1">
        <v>1312.4428372499999</v>
      </c>
      <c r="AY15" s="4">
        <v>6809.6281042099999</v>
      </c>
    </row>
    <row r="16" spans="1:51" x14ac:dyDescent="0.25">
      <c r="A16" s="14"/>
      <c r="B16" s="11"/>
      <c r="C16" s="1" t="s">
        <v>13</v>
      </c>
      <c r="D16" s="1">
        <v>0</v>
      </c>
      <c r="E16" s="1">
        <v>30.333736219999999</v>
      </c>
      <c r="F16" s="1">
        <v>2.3950220999999998</v>
      </c>
      <c r="G16" s="1">
        <v>19.445006660000001</v>
      </c>
      <c r="H16" s="1">
        <v>9.5217111200000009</v>
      </c>
      <c r="I16" s="1">
        <v>5.2791318499999997</v>
      </c>
      <c r="J16" s="1">
        <v>6.1473383699999999</v>
      </c>
      <c r="K16" s="1">
        <v>20.840489959999999</v>
      </c>
      <c r="L16" s="1">
        <v>10.41352279</v>
      </c>
      <c r="M16" s="1">
        <v>174.86276315000001</v>
      </c>
      <c r="N16" s="1">
        <v>440.40320839999998</v>
      </c>
      <c r="O16" s="1">
        <v>218.57262405</v>
      </c>
      <c r="P16" s="1">
        <v>468.08619657999998</v>
      </c>
      <c r="Q16" s="1">
        <v>521.69702197000004</v>
      </c>
      <c r="R16" s="1">
        <v>75.474740400000002</v>
      </c>
      <c r="S16" s="1">
        <v>234.04989741</v>
      </c>
      <c r="T16" s="1">
        <v>312.66167888000001</v>
      </c>
      <c r="U16" s="1">
        <v>72.261478550000007</v>
      </c>
      <c r="V16" s="1">
        <v>6.2347914500000003</v>
      </c>
      <c r="W16" s="1">
        <v>5.1605899600000003</v>
      </c>
      <c r="X16" s="1">
        <v>30.45475094</v>
      </c>
      <c r="Y16" s="1">
        <v>6.36873617</v>
      </c>
      <c r="Z16" s="1">
        <v>5.5574154800000004</v>
      </c>
      <c r="AA16" s="1">
        <v>3.88841262</v>
      </c>
      <c r="AB16" s="1">
        <v>229.81327793</v>
      </c>
      <c r="AC16" s="1">
        <v>179.48315459</v>
      </c>
      <c r="AD16" s="1">
        <v>25.816603010000001</v>
      </c>
      <c r="AE16" s="1">
        <v>6.4431599799999999</v>
      </c>
      <c r="AF16" s="1">
        <v>1.0158092000000001</v>
      </c>
      <c r="AG16" s="1">
        <v>0.1293417</v>
      </c>
      <c r="AH16" s="1">
        <v>6.9659228999999998</v>
      </c>
      <c r="AI16" s="1">
        <v>34.238460179999997</v>
      </c>
      <c r="AJ16" s="1">
        <v>3.50204308</v>
      </c>
      <c r="AK16" s="1">
        <v>115.41582991999999</v>
      </c>
      <c r="AL16" s="1">
        <v>0</v>
      </c>
      <c r="AM16" s="1">
        <v>43.112594860000002</v>
      </c>
      <c r="AN16" s="1">
        <v>3.7312674499999998</v>
      </c>
      <c r="AO16" s="1">
        <v>15.61615988</v>
      </c>
      <c r="AP16" s="1">
        <v>1.2584822200000001</v>
      </c>
      <c r="AQ16" s="1">
        <v>3.6772728099999998</v>
      </c>
      <c r="AR16" s="1">
        <v>4.4138172999999998</v>
      </c>
      <c r="AS16" s="1">
        <v>1.3505888699999999</v>
      </c>
      <c r="AT16" s="4">
        <v>2026.43344075</v>
      </c>
      <c r="AU16" s="1">
        <v>32.203647529999998</v>
      </c>
      <c r="AV16" s="1">
        <v>2978.9144644399998</v>
      </c>
      <c r="AW16" s="1">
        <v>139.40967806</v>
      </c>
      <c r="AX16" s="1">
        <v>780.86769808999998</v>
      </c>
      <c r="AY16" s="4">
        <v>5064.4710677200001</v>
      </c>
    </row>
    <row r="17" spans="1:51" x14ac:dyDescent="0.25">
      <c r="A17" s="14"/>
      <c r="B17" s="11"/>
      <c r="C17" s="1" t="s">
        <v>14</v>
      </c>
      <c r="D17" s="1">
        <v>0</v>
      </c>
      <c r="E17" s="1">
        <v>92.228228880000003</v>
      </c>
      <c r="F17" s="1">
        <v>3.3350719999999998</v>
      </c>
      <c r="G17" s="1">
        <v>42.388914739999997</v>
      </c>
      <c r="H17" s="1">
        <v>8.62334903</v>
      </c>
      <c r="I17" s="1">
        <v>33.064337799999997</v>
      </c>
      <c r="J17" s="1">
        <v>66.000650980000003</v>
      </c>
      <c r="K17" s="1">
        <v>20.77767205</v>
      </c>
      <c r="L17" s="1">
        <v>19.03304198</v>
      </c>
      <c r="M17" s="1">
        <v>395.88022914999999</v>
      </c>
      <c r="N17" s="1">
        <v>859.95182247000002</v>
      </c>
      <c r="O17" s="1">
        <v>238.32621653999999</v>
      </c>
      <c r="P17" s="1">
        <v>479.90259928</v>
      </c>
      <c r="Q17" s="1">
        <v>67.151761769999993</v>
      </c>
      <c r="R17" s="1">
        <v>3715.3782584099999</v>
      </c>
      <c r="S17" s="1">
        <v>581.90334441000005</v>
      </c>
      <c r="T17" s="1">
        <v>420.84182589</v>
      </c>
      <c r="U17" s="1">
        <v>57.265231659999998</v>
      </c>
      <c r="V17" s="1">
        <v>6.8141958899999997</v>
      </c>
      <c r="W17" s="1">
        <v>10.03169203</v>
      </c>
      <c r="X17" s="1">
        <v>78.764825999999999</v>
      </c>
      <c r="Y17" s="1">
        <v>14.40949022</v>
      </c>
      <c r="Z17" s="1">
        <v>12.138168159999999</v>
      </c>
      <c r="AA17" s="1">
        <v>8.6450949399999999</v>
      </c>
      <c r="AB17" s="1">
        <v>715.11043479</v>
      </c>
      <c r="AC17" s="1">
        <v>359.36042388999999</v>
      </c>
      <c r="AD17" s="1">
        <v>15.769038419999999</v>
      </c>
      <c r="AE17" s="1">
        <v>13.84311699</v>
      </c>
      <c r="AF17" s="1">
        <v>2.7585301800000002</v>
      </c>
      <c r="AG17" s="1">
        <v>0.71222973999999994</v>
      </c>
      <c r="AH17" s="1">
        <v>6.1826380700000003</v>
      </c>
      <c r="AI17" s="1">
        <v>41.486601919999998</v>
      </c>
      <c r="AJ17" s="1">
        <v>3.4343309500000001</v>
      </c>
      <c r="AK17" s="1">
        <v>445.79376836</v>
      </c>
      <c r="AL17" s="1">
        <v>0</v>
      </c>
      <c r="AM17" s="1">
        <v>107.78301845999999</v>
      </c>
      <c r="AN17" s="1">
        <v>7.9120699800000001</v>
      </c>
      <c r="AO17" s="1">
        <v>46.251938869999996</v>
      </c>
      <c r="AP17" s="1">
        <v>2.0827899699999999</v>
      </c>
      <c r="AQ17" s="1">
        <v>4.3813437000000004</v>
      </c>
      <c r="AR17" s="1">
        <v>4.0108954399999996</v>
      </c>
      <c r="AS17" s="1">
        <v>1.7935578700000001</v>
      </c>
      <c r="AT17" s="4">
        <v>2726.8177629800002</v>
      </c>
      <c r="AU17" s="1">
        <v>15.48232221</v>
      </c>
      <c r="AV17" s="1">
        <v>6368.9015367299999</v>
      </c>
      <c r="AW17" s="1">
        <v>2193.9167738800002</v>
      </c>
      <c r="AX17" s="1">
        <v>1432.68467766</v>
      </c>
      <c r="AY17" s="4">
        <v>12317.67993418</v>
      </c>
    </row>
    <row r="18" spans="1:51" x14ac:dyDescent="0.25">
      <c r="A18" s="14"/>
      <c r="B18" s="11"/>
      <c r="C18" s="1" t="s">
        <v>15</v>
      </c>
      <c r="D18" s="1">
        <v>0</v>
      </c>
      <c r="E18" s="1">
        <v>312.76989165999998</v>
      </c>
      <c r="F18" s="1">
        <v>10.775654380000001</v>
      </c>
      <c r="G18" s="1">
        <v>46.758719980000002</v>
      </c>
      <c r="H18" s="1">
        <v>9.9010317800000003</v>
      </c>
      <c r="I18" s="1">
        <v>7.02451895</v>
      </c>
      <c r="J18" s="1">
        <v>10.679387330000001</v>
      </c>
      <c r="K18" s="1">
        <v>44.90553723</v>
      </c>
      <c r="L18" s="1">
        <v>22.92778384</v>
      </c>
      <c r="M18" s="1">
        <v>941.23776477000001</v>
      </c>
      <c r="N18" s="1">
        <v>2001.6448516999999</v>
      </c>
      <c r="O18" s="1">
        <v>483.43876332000002</v>
      </c>
      <c r="P18" s="1">
        <v>355.31683844000003</v>
      </c>
      <c r="Q18" s="1">
        <v>104.96501628</v>
      </c>
      <c r="R18" s="1">
        <v>10.93945686</v>
      </c>
      <c r="S18" s="1">
        <v>1774.3748043400001</v>
      </c>
      <c r="T18" s="1">
        <v>744.78819212999997</v>
      </c>
      <c r="U18" s="1">
        <v>78.329253140000006</v>
      </c>
      <c r="V18" s="1">
        <v>17.140178599999999</v>
      </c>
      <c r="W18" s="1">
        <v>6.1867985499999998</v>
      </c>
      <c r="X18" s="1">
        <v>110.55916594</v>
      </c>
      <c r="Y18" s="1">
        <v>1.5811214200000001</v>
      </c>
      <c r="Z18" s="1">
        <v>12.03312247</v>
      </c>
      <c r="AA18" s="1">
        <v>6.4005976200000001</v>
      </c>
      <c r="AB18" s="1">
        <v>620.72753703000001</v>
      </c>
      <c r="AC18" s="1">
        <v>436.76960880000001</v>
      </c>
      <c r="AD18" s="1">
        <v>31.16737719</v>
      </c>
      <c r="AE18" s="1">
        <v>11.183728840000001</v>
      </c>
      <c r="AF18" s="1">
        <v>0.54172189000000004</v>
      </c>
      <c r="AG18" s="1">
        <v>1.7253560000000001E-2</v>
      </c>
      <c r="AH18" s="1">
        <v>14.968610480000001</v>
      </c>
      <c r="AI18" s="1">
        <v>58.757404399999999</v>
      </c>
      <c r="AJ18" s="1">
        <v>4.3409121900000001</v>
      </c>
      <c r="AK18" s="1">
        <v>308.85848282000001</v>
      </c>
      <c r="AL18" s="1">
        <v>0</v>
      </c>
      <c r="AM18" s="1">
        <v>58.177975529999998</v>
      </c>
      <c r="AN18" s="1">
        <v>7.5987663400000001</v>
      </c>
      <c r="AO18" s="1">
        <v>27.808572049999999</v>
      </c>
      <c r="AP18" s="1">
        <v>2.5528870299999999</v>
      </c>
      <c r="AQ18" s="1">
        <v>5.0675530699999998</v>
      </c>
      <c r="AR18" s="1">
        <v>6.6903416800000004</v>
      </c>
      <c r="AS18" s="1">
        <v>1.5785785299999999</v>
      </c>
      <c r="AT18" s="4">
        <v>1384.1325615400001</v>
      </c>
      <c r="AU18" s="1">
        <v>133.77915174</v>
      </c>
      <c r="AV18" s="1">
        <v>4621.3000179199998</v>
      </c>
      <c r="AW18" s="1">
        <v>609.74801729000001</v>
      </c>
      <c r="AX18" s="1">
        <v>2493.6402873500001</v>
      </c>
      <c r="AY18" s="4">
        <v>11376.395626740001</v>
      </c>
    </row>
    <row r="19" spans="1:51" x14ac:dyDescent="0.25">
      <c r="A19" s="14"/>
      <c r="B19" s="11"/>
      <c r="C19" s="1" t="s">
        <v>16</v>
      </c>
      <c r="D19" s="1">
        <v>0.21472711</v>
      </c>
      <c r="E19" s="1">
        <v>342.69037104</v>
      </c>
      <c r="F19" s="1">
        <v>0.57544401999999995</v>
      </c>
      <c r="G19" s="1">
        <v>85.712162599999999</v>
      </c>
      <c r="H19" s="1">
        <v>10.60973751</v>
      </c>
      <c r="I19" s="1">
        <v>5.1816388699999996</v>
      </c>
      <c r="J19" s="1">
        <v>6.4826068000000001</v>
      </c>
      <c r="K19" s="1">
        <v>48.7613257</v>
      </c>
      <c r="L19" s="1">
        <v>7.0680424200000003</v>
      </c>
      <c r="M19" s="1">
        <v>480.09487295000002</v>
      </c>
      <c r="N19" s="1">
        <v>367.88910912</v>
      </c>
      <c r="O19" s="1">
        <v>87.787898279999993</v>
      </c>
      <c r="P19" s="1">
        <v>107.09277521</v>
      </c>
      <c r="Q19" s="1">
        <v>279.83120658000001</v>
      </c>
      <c r="R19" s="1">
        <v>11.95951745</v>
      </c>
      <c r="S19" s="1">
        <v>520.36116050999999</v>
      </c>
      <c r="T19" s="1">
        <v>4624.0644733899999</v>
      </c>
      <c r="U19" s="1">
        <v>103.74200429</v>
      </c>
      <c r="V19" s="1">
        <v>12.223035360000001</v>
      </c>
      <c r="W19" s="1">
        <v>13.32777802</v>
      </c>
      <c r="X19" s="1">
        <v>160.03943713999999</v>
      </c>
      <c r="Y19" s="1">
        <v>0.82830497999999997</v>
      </c>
      <c r="Z19" s="1">
        <v>17.184406119999998</v>
      </c>
      <c r="AA19" s="1">
        <v>21.080783950000001</v>
      </c>
      <c r="AB19" s="1">
        <v>977.29609621999998</v>
      </c>
      <c r="AC19" s="1">
        <v>310.02195518000002</v>
      </c>
      <c r="AD19" s="1">
        <v>16.128521880000001</v>
      </c>
      <c r="AE19" s="1">
        <v>14.750130220000001</v>
      </c>
      <c r="AF19" s="1">
        <v>1.014809E-2</v>
      </c>
      <c r="AG19" s="1">
        <v>0</v>
      </c>
      <c r="AH19" s="1">
        <v>254.06207903000001</v>
      </c>
      <c r="AI19" s="1">
        <v>53.665653239999997</v>
      </c>
      <c r="AJ19" s="1">
        <v>7.1207936600000004</v>
      </c>
      <c r="AK19" s="1">
        <v>233.74438327999999</v>
      </c>
      <c r="AL19" s="1">
        <v>0</v>
      </c>
      <c r="AM19" s="1">
        <v>91.355951169999997</v>
      </c>
      <c r="AN19" s="1">
        <v>9.8561585199999993</v>
      </c>
      <c r="AO19" s="1">
        <v>46.975074659999997</v>
      </c>
      <c r="AP19" s="1">
        <v>3.3539016099999999</v>
      </c>
      <c r="AQ19" s="1">
        <v>2.01291989</v>
      </c>
      <c r="AR19" s="1">
        <v>8.0333976699999994</v>
      </c>
      <c r="AS19" s="1">
        <v>2.58190681</v>
      </c>
      <c r="AT19" s="4">
        <v>1066.2910629</v>
      </c>
      <c r="AU19" s="1">
        <v>-83.110196220000006</v>
      </c>
      <c r="AV19" s="1">
        <v>5276.3954726600005</v>
      </c>
      <c r="AW19" s="1">
        <v>779.37934202999998</v>
      </c>
      <c r="AX19" s="1">
        <v>3513.8352639499999</v>
      </c>
      <c r="AY19" s="4">
        <v>15290.481964250001</v>
      </c>
    </row>
    <row r="20" spans="1:51" x14ac:dyDescent="0.25">
      <c r="A20" s="14"/>
      <c r="B20" s="11"/>
      <c r="C20" s="1" t="s">
        <v>17</v>
      </c>
      <c r="D20" s="1">
        <v>0</v>
      </c>
      <c r="E20" s="1">
        <v>45.26208269</v>
      </c>
      <c r="F20" s="1">
        <v>0.15985160000000001</v>
      </c>
      <c r="G20" s="1">
        <v>3.5102043300000001</v>
      </c>
      <c r="H20" s="1">
        <v>0.86138784999999995</v>
      </c>
      <c r="I20" s="1">
        <v>0.48481960000000002</v>
      </c>
      <c r="J20" s="1">
        <v>4.5703391099999999</v>
      </c>
      <c r="K20" s="1">
        <v>4.3335650599999997</v>
      </c>
      <c r="L20" s="1">
        <v>1.71725087</v>
      </c>
      <c r="M20" s="1">
        <v>54.771693800000001</v>
      </c>
      <c r="N20" s="1">
        <v>52.418220519999998</v>
      </c>
      <c r="O20" s="1">
        <v>27.138969400000001</v>
      </c>
      <c r="P20" s="1">
        <v>31.233105909999999</v>
      </c>
      <c r="Q20" s="1">
        <v>19.761687160000001</v>
      </c>
      <c r="R20" s="1">
        <v>1.01664664</v>
      </c>
      <c r="S20" s="1">
        <v>42.288806409999999</v>
      </c>
      <c r="T20" s="1">
        <v>145.79263567000001</v>
      </c>
      <c r="U20" s="1">
        <v>159.13024938999999</v>
      </c>
      <c r="V20" s="1">
        <v>5.4504709999999998E-2</v>
      </c>
      <c r="W20" s="1">
        <v>0.78151495000000004</v>
      </c>
      <c r="X20" s="1">
        <v>6.1922783800000003</v>
      </c>
      <c r="Y20" s="1">
        <v>7.1266579999999996E-2</v>
      </c>
      <c r="Z20" s="1">
        <v>1.364619</v>
      </c>
      <c r="AA20" s="1">
        <v>1.12848759</v>
      </c>
      <c r="AB20" s="1">
        <v>72.596425510000003</v>
      </c>
      <c r="AC20" s="1">
        <v>35.000078270000003</v>
      </c>
      <c r="AD20" s="1">
        <v>8.7160170899999994</v>
      </c>
      <c r="AE20" s="1">
        <v>1.1647353199999999</v>
      </c>
      <c r="AF20" s="1">
        <v>4.9203539999999997E-2</v>
      </c>
      <c r="AG20" s="1">
        <v>0</v>
      </c>
      <c r="AH20" s="1">
        <v>1.57600396</v>
      </c>
      <c r="AI20" s="1">
        <v>4.7647604899999996</v>
      </c>
      <c r="AJ20" s="1">
        <v>1.11119309</v>
      </c>
      <c r="AK20" s="1">
        <v>25.22753544</v>
      </c>
      <c r="AL20" s="1">
        <v>0</v>
      </c>
      <c r="AM20" s="1">
        <v>8.8528092600000008</v>
      </c>
      <c r="AN20" s="1">
        <v>0.96536986000000002</v>
      </c>
      <c r="AO20" s="1">
        <v>4.4296010099999998</v>
      </c>
      <c r="AP20" s="1">
        <v>0.79859992000000002</v>
      </c>
      <c r="AQ20" s="1">
        <v>0.55023149999999998</v>
      </c>
      <c r="AR20" s="1">
        <v>0.97036458000000003</v>
      </c>
      <c r="AS20" s="1">
        <v>0.21945405000000001</v>
      </c>
      <c r="AT20" s="4">
        <v>9.8998682000000002</v>
      </c>
      <c r="AU20" s="1">
        <v>40.688463220000003</v>
      </c>
      <c r="AV20" s="1">
        <v>327.70294267000003</v>
      </c>
      <c r="AW20" s="1">
        <v>12.357247279999999</v>
      </c>
      <c r="AX20" s="1">
        <v>264.75736396000002</v>
      </c>
      <c r="AY20" s="4">
        <v>1337.9864130000001</v>
      </c>
    </row>
    <row r="21" spans="1:51" x14ac:dyDescent="0.25">
      <c r="A21" s="14"/>
      <c r="B21" s="11"/>
      <c r="C21" s="1" t="s">
        <v>18</v>
      </c>
      <c r="D21" s="1">
        <v>6.0545059300000004</v>
      </c>
      <c r="E21" s="1">
        <v>7.0622695899999997</v>
      </c>
      <c r="F21" s="1">
        <v>3.6789046399999998</v>
      </c>
      <c r="G21" s="1">
        <v>5.24301672</v>
      </c>
      <c r="H21" s="1">
        <v>13.09532031</v>
      </c>
      <c r="I21" s="1">
        <v>1.4491692300000001</v>
      </c>
      <c r="J21" s="1">
        <v>11.005682309999999</v>
      </c>
      <c r="K21" s="1">
        <v>6.8663298800000003</v>
      </c>
      <c r="L21" s="1">
        <v>18.263945880000001</v>
      </c>
      <c r="M21" s="1">
        <v>83.282242440000005</v>
      </c>
      <c r="N21" s="1">
        <v>35.737854159999998</v>
      </c>
      <c r="O21" s="1">
        <v>14.992957970000001</v>
      </c>
      <c r="P21" s="1">
        <v>10.706474910000001</v>
      </c>
      <c r="Q21" s="1">
        <v>5.5985559</v>
      </c>
      <c r="R21" s="1">
        <v>0.79546916999999995</v>
      </c>
      <c r="S21" s="1">
        <v>4.6416340500000004</v>
      </c>
      <c r="T21" s="1">
        <v>8.0067017800000002</v>
      </c>
      <c r="U21" s="1">
        <v>0.11896787</v>
      </c>
      <c r="V21" s="1">
        <v>239.30519716000001</v>
      </c>
      <c r="W21" s="1">
        <v>4.7055289299999998</v>
      </c>
      <c r="X21" s="1">
        <v>61.165631930000004</v>
      </c>
      <c r="Y21" s="1">
        <v>0.11709134</v>
      </c>
      <c r="Z21" s="1">
        <v>2.2626066499999999</v>
      </c>
      <c r="AA21" s="1">
        <v>1.3068070300000001</v>
      </c>
      <c r="AB21" s="1">
        <v>26.652734500000001</v>
      </c>
      <c r="AC21" s="1">
        <v>30.209712769999999</v>
      </c>
      <c r="AD21" s="1">
        <v>2.2527344399999998</v>
      </c>
      <c r="AE21" s="1">
        <v>31.727008900000001</v>
      </c>
      <c r="AF21" s="1">
        <v>5.1221503799999999</v>
      </c>
      <c r="AG21" s="1">
        <v>0</v>
      </c>
      <c r="AH21" s="1">
        <v>0.82057128999999995</v>
      </c>
      <c r="AI21" s="1">
        <v>11.277394790000001</v>
      </c>
      <c r="AJ21" s="1">
        <v>0.45424889000000002</v>
      </c>
      <c r="AK21" s="1">
        <v>22.623030809999999</v>
      </c>
      <c r="AL21" s="1">
        <v>0</v>
      </c>
      <c r="AM21" s="1">
        <v>5.9166881199999999</v>
      </c>
      <c r="AN21" s="1">
        <v>1.2663772499999999</v>
      </c>
      <c r="AO21" s="1">
        <v>5.1993223000000004</v>
      </c>
      <c r="AP21" s="1">
        <v>0.65843481999999998</v>
      </c>
      <c r="AQ21" s="1">
        <v>0.15093448000000001</v>
      </c>
      <c r="AR21" s="1">
        <v>0.67046437999999997</v>
      </c>
      <c r="AS21" s="1">
        <v>1.12888173</v>
      </c>
      <c r="AT21" s="4">
        <v>0</v>
      </c>
      <c r="AU21" s="1">
        <v>12.89378176</v>
      </c>
      <c r="AV21" s="1">
        <v>213.03200749999999</v>
      </c>
      <c r="AW21" s="1">
        <v>32.526417019999997</v>
      </c>
      <c r="AX21" s="1">
        <v>167.61180872</v>
      </c>
      <c r="AY21" s="4">
        <v>1787.5529285800001</v>
      </c>
    </row>
    <row r="22" spans="1:51" x14ac:dyDescent="0.25">
      <c r="A22" s="14"/>
      <c r="B22" s="11"/>
      <c r="C22" s="1" t="s">
        <v>19</v>
      </c>
      <c r="D22" s="1">
        <v>0</v>
      </c>
      <c r="E22" s="1">
        <v>0.98267987000000001</v>
      </c>
      <c r="F22" s="1">
        <v>0.13172776999999999</v>
      </c>
      <c r="G22" s="1">
        <v>1.12592128</v>
      </c>
      <c r="H22" s="1">
        <v>0.67436830999999997</v>
      </c>
      <c r="I22" s="1">
        <v>0.50829210000000002</v>
      </c>
      <c r="J22" s="1">
        <v>0.51338377000000002</v>
      </c>
      <c r="K22" s="1">
        <v>0.85939458000000002</v>
      </c>
      <c r="L22" s="1">
        <v>2.41681583</v>
      </c>
      <c r="M22" s="1">
        <v>9.1718250099999992</v>
      </c>
      <c r="N22" s="1">
        <v>54.668628079999998</v>
      </c>
      <c r="O22" s="1">
        <v>8.4245629700000002</v>
      </c>
      <c r="P22" s="1">
        <v>17.229496409999999</v>
      </c>
      <c r="Q22" s="1">
        <v>7.37010933</v>
      </c>
      <c r="R22" s="1">
        <v>61.58305051</v>
      </c>
      <c r="S22" s="1">
        <v>37.988056159999999</v>
      </c>
      <c r="T22" s="1">
        <v>6.1835375499999996</v>
      </c>
      <c r="U22" s="1">
        <v>4.4097673300000002</v>
      </c>
      <c r="V22" s="1">
        <v>0.58117936999999997</v>
      </c>
      <c r="W22" s="1">
        <v>0.75490172</v>
      </c>
      <c r="X22" s="1">
        <v>5.6863228399999999</v>
      </c>
      <c r="Y22" s="1">
        <v>1.2882499999999999E-3</v>
      </c>
      <c r="Z22" s="1">
        <v>0.54883941999999997</v>
      </c>
      <c r="AA22" s="1">
        <v>1.1888306500000001</v>
      </c>
      <c r="AB22" s="1">
        <v>18.318070299999999</v>
      </c>
      <c r="AC22" s="1">
        <v>13.712516989999999</v>
      </c>
      <c r="AD22" s="1">
        <v>1.0320742700000001</v>
      </c>
      <c r="AE22" s="1">
        <v>0.36513213</v>
      </c>
      <c r="AF22" s="1">
        <v>5.8642020000000003E-2</v>
      </c>
      <c r="AG22" s="1">
        <v>0</v>
      </c>
      <c r="AH22" s="1">
        <v>0.51877876999999994</v>
      </c>
      <c r="AI22" s="1">
        <v>3.26493631</v>
      </c>
      <c r="AJ22" s="1">
        <v>1.01989755</v>
      </c>
      <c r="AK22" s="1">
        <v>19.04226907</v>
      </c>
      <c r="AL22" s="1">
        <v>0</v>
      </c>
      <c r="AM22" s="1">
        <v>2.2281643500000001</v>
      </c>
      <c r="AN22" s="1">
        <v>0.34524849000000002</v>
      </c>
      <c r="AO22" s="1">
        <v>2.1799753700000002</v>
      </c>
      <c r="AP22" s="1">
        <v>0.60145314999999999</v>
      </c>
      <c r="AQ22" s="1">
        <v>0.10135572</v>
      </c>
      <c r="AR22" s="1">
        <v>0.28607034999999997</v>
      </c>
      <c r="AS22" s="1">
        <v>0.17978390999999999</v>
      </c>
      <c r="AT22" s="4">
        <v>28.023011109999999</v>
      </c>
      <c r="AU22" s="1">
        <v>0</v>
      </c>
      <c r="AV22" s="1">
        <v>98.966708650000001</v>
      </c>
      <c r="AW22" s="1">
        <v>0</v>
      </c>
      <c r="AX22" s="1">
        <v>70.943697549999996</v>
      </c>
      <c r="AY22" s="4">
        <v>494.18635415</v>
      </c>
    </row>
    <row r="23" spans="1:51" x14ac:dyDescent="0.25">
      <c r="A23" s="14"/>
      <c r="B23" s="11"/>
      <c r="C23" s="1" t="s">
        <v>20</v>
      </c>
      <c r="D23" s="1">
        <v>0</v>
      </c>
      <c r="E23" s="1">
        <v>4.4710867199999997</v>
      </c>
      <c r="F23" s="1">
        <v>29.278154879999999</v>
      </c>
      <c r="G23" s="1">
        <v>48.894162229999999</v>
      </c>
      <c r="H23" s="1">
        <v>0.14393753000000001</v>
      </c>
      <c r="I23" s="1">
        <v>2.1891355699999999</v>
      </c>
      <c r="J23" s="1">
        <v>2.29882791</v>
      </c>
      <c r="K23" s="1">
        <v>9.1244318</v>
      </c>
      <c r="L23" s="1">
        <v>82.712937139999994</v>
      </c>
      <c r="M23" s="1">
        <v>6.21021467</v>
      </c>
      <c r="N23" s="1">
        <v>2.1520940300000002</v>
      </c>
      <c r="O23" s="1">
        <v>10.326282920000001</v>
      </c>
      <c r="P23" s="1">
        <v>22.466196149999998</v>
      </c>
      <c r="Q23" s="1">
        <v>3.00688354</v>
      </c>
      <c r="R23" s="1">
        <v>3.82470533</v>
      </c>
      <c r="S23" s="1">
        <v>311.28546362999998</v>
      </c>
      <c r="T23" s="1">
        <v>3.44154662</v>
      </c>
      <c r="U23" s="1">
        <v>36.499321170000002</v>
      </c>
      <c r="V23" s="1">
        <v>0.34346338999999998</v>
      </c>
      <c r="W23" s="1">
        <v>56.485522009999997</v>
      </c>
      <c r="X23" s="1">
        <v>3936.2737543799999</v>
      </c>
      <c r="Y23" s="1">
        <v>357.53082589000002</v>
      </c>
      <c r="Z23" s="1">
        <v>8.1157682199999996</v>
      </c>
      <c r="AA23" s="1">
        <v>19.094496970000002</v>
      </c>
      <c r="AB23" s="1">
        <v>92.630081129999994</v>
      </c>
      <c r="AC23" s="1">
        <v>197.04177272000001</v>
      </c>
      <c r="AD23" s="1">
        <v>5.8989753800000004</v>
      </c>
      <c r="AE23" s="1">
        <v>34.778122549999999</v>
      </c>
      <c r="AF23" s="1">
        <v>1008.97442671</v>
      </c>
      <c r="AG23" s="1">
        <v>1.5854420000000001E-2</v>
      </c>
      <c r="AH23" s="1">
        <v>9.5545450699999996</v>
      </c>
      <c r="AI23" s="1">
        <v>331.60148103</v>
      </c>
      <c r="AJ23" s="1">
        <v>2.2307017299999998</v>
      </c>
      <c r="AK23" s="1">
        <v>274.76539200000002</v>
      </c>
      <c r="AL23" s="1">
        <v>0</v>
      </c>
      <c r="AM23" s="1">
        <v>44.899910439999999</v>
      </c>
      <c r="AN23" s="1">
        <v>34.482630700000001</v>
      </c>
      <c r="AO23" s="1">
        <v>39.949515730000002</v>
      </c>
      <c r="AP23" s="1">
        <v>4.4526581900000002</v>
      </c>
      <c r="AQ23" s="1">
        <v>5.0379536099999997</v>
      </c>
      <c r="AR23" s="1">
        <v>5.0288747799999998</v>
      </c>
      <c r="AS23" s="1">
        <v>1.87381818</v>
      </c>
      <c r="AT23" s="4">
        <v>0</v>
      </c>
      <c r="AU23" s="1">
        <v>0</v>
      </c>
      <c r="AV23" s="1">
        <v>1042.5591309199999</v>
      </c>
      <c r="AW23" s="1">
        <v>1030.4850623699999</v>
      </c>
      <c r="AX23" s="1">
        <v>12.07406855</v>
      </c>
      <c r="AY23" s="4">
        <v>10017.575708660001</v>
      </c>
    </row>
    <row r="24" spans="1:51" x14ac:dyDescent="0.25">
      <c r="A24" s="14"/>
      <c r="B24" s="11"/>
      <c r="C24" s="1" t="s">
        <v>21</v>
      </c>
      <c r="D24" s="1">
        <v>0</v>
      </c>
      <c r="E24" s="1">
        <v>0.46584386</v>
      </c>
      <c r="F24" s="1">
        <v>0</v>
      </c>
      <c r="G24" s="1">
        <v>7.1447030600000003</v>
      </c>
      <c r="H24" s="1">
        <v>7.58014E-3</v>
      </c>
      <c r="I24" s="1">
        <v>0.40476130999999999</v>
      </c>
      <c r="J24" s="1">
        <v>8.0830349999999995E-2</v>
      </c>
      <c r="K24" s="1">
        <v>1.12935392</v>
      </c>
      <c r="L24" s="1">
        <v>16.471193769999999</v>
      </c>
      <c r="M24" s="1">
        <v>0.82758259000000001</v>
      </c>
      <c r="N24" s="1">
        <v>0.96428506000000003</v>
      </c>
      <c r="O24" s="1">
        <v>2.2167823200000001</v>
      </c>
      <c r="P24" s="1">
        <v>0.28369755000000002</v>
      </c>
      <c r="Q24" s="1">
        <v>1.0501480000000001E-2</v>
      </c>
      <c r="R24" s="1">
        <v>0.89212933999999999</v>
      </c>
      <c r="S24" s="1">
        <v>0.51453307000000004</v>
      </c>
      <c r="T24" s="1">
        <v>5.6192150000000003E-2</v>
      </c>
      <c r="U24" s="1">
        <v>0.65395203000000002</v>
      </c>
      <c r="V24" s="1">
        <v>5.9393400000000004E-3</v>
      </c>
      <c r="W24" s="1">
        <v>5.7074142099999996</v>
      </c>
      <c r="X24" s="1">
        <v>12.23417325</v>
      </c>
      <c r="Y24" s="1">
        <v>726.4732252</v>
      </c>
      <c r="Z24" s="1">
        <v>1.0684358</v>
      </c>
      <c r="AA24" s="1">
        <v>1.0023252600000001</v>
      </c>
      <c r="AB24" s="1">
        <v>26.713608059999999</v>
      </c>
      <c r="AC24" s="1">
        <v>88.795861560000006</v>
      </c>
      <c r="AD24" s="1">
        <v>0.89929395999999995</v>
      </c>
      <c r="AE24" s="1">
        <v>13.392601129999999</v>
      </c>
      <c r="AF24" s="1">
        <v>53.296666379999998</v>
      </c>
      <c r="AG24" s="1">
        <v>341.68215672000002</v>
      </c>
      <c r="AH24" s="1">
        <v>1.32000725</v>
      </c>
      <c r="AI24" s="1">
        <v>21.561029789999999</v>
      </c>
      <c r="AJ24" s="1">
        <v>0.70941383000000002</v>
      </c>
      <c r="AK24" s="1">
        <v>52.872750859999996</v>
      </c>
      <c r="AL24" s="1">
        <v>0</v>
      </c>
      <c r="AM24" s="1">
        <v>6.1685599299999998</v>
      </c>
      <c r="AN24" s="1">
        <v>1.5651436999999999</v>
      </c>
      <c r="AO24" s="1">
        <v>4.7895687899999997</v>
      </c>
      <c r="AP24" s="1">
        <v>1.0191616100000001</v>
      </c>
      <c r="AQ24" s="1">
        <v>0.89393591999999999</v>
      </c>
      <c r="AR24" s="1">
        <v>0.28208621</v>
      </c>
      <c r="AS24" s="1">
        <v>0.31414329000000002</v>
      </c>
      <c r="AT24" s="4">
        <v>0</v>
      </c>
      <c r="AU24" s="1">
        <v>18.67398902</v>
      </c>
      <c r="AV24" s="1">
        <v>404.23562107999999</v>
      </c>
      <c r="AW24" s="1">
        <v>385.56163144999999</v>
      </c>
      <c r="AX24" s="1">
        <v>6.0999999999999998E-7</v>
      </c>
      <c r="AY24" s="4">
        <v>2113.9289425799998</v>
      </c>
    </row>
    <row r="25" spans="1:51" x14ac:dyDescent="0.25">
      <c r="A25" s="14"/>
      <c r="B25" s="11"/>
      <c r="C25" s="1" t="s">
        <v>22</v>
      </c>
      <c r="D25" s="1">
        <v>0</v>
      </c>
      <c r="E25" s="1">
        <v>0.29285625999999998</v>
      </c>
      <c r="F25" s="1">
        <v>4.0803104299999999</v>
      </c>
      <c r="G25" s="1">
        <v>5.71939039</v>
      </c>
      <c r="H25" s="1">
        <v>3.5372359999999999E-2</v>
      </c>
      <c r="I25" s="1">
        <v>4.46698401</v>
      </c>
      <c r="J25" s="1">
        <v>0.17502355</v>
      </c>
      <c r="K25" s="1">
        <v>0.61503417999999999</v>
      </c>
      <c r="L25" s="1">
        <v>2.9753543800000002</v>
      </c>
      <c r="M25" s="1">
        <v>56.147846379999997</v>
      </c>
      <c r="N25" s="1">
        <v>0.2542625</v>
      </c>
      <c r="O25" s="1">
        <v>3.0815498099999998</v>
      </c>
      <c r="P25" s="1">
        <v>3.0616614499999999</v>
      </c>
      <c r="Q25" s="1">
        <v>3.3238002299999998</v>
      </c>
      <c r="R25" s="1">
        <v>0.25192790999999998</v>
      </c>
      <c r="S25" s="1">
        <v>0.34758314000000001</v>
      </c>
      <c r="T25" s="1">
        <v>0.12009628999999999</v>
      </c>
      <c r="U25" s="1">
        <v>0.48272615000000002</v>
      </c>
      <c r="V25" s="1">
        <v>6.1815200000000002E-3</v>
      </c>
      <c r="W25" s="1">
        <v>5.5294787300000001</v>
      </c>
      <c r="X25" s="1">
        <v>51.124437649999997</v>
      </c>
      <c r="Y25" s="1">
        <v>9.3342999999999996E-4</v>
      </c>
      <c r="Z25" s="1">
        <v>23.35110633</v>
      </c>
      <c r="AA25" s="1">
        <v>1.8424959000000001</v>
      </c>
      <c r="AB25" s="1">
        <v>9.4801751200000002</v>
      </c>
      <c r="AC25" s="1">
        <v>6.3763260199999996</v>
      </c>
      <c r="AD25" s="1">
        <v>0.66880444999999999</v>
      </c>
      <c r="AE25" s="1">
        <v>0.64264708999999998</v>
      </c>
      <c r="AF25" s="1">
        <v>0</v>
      </c>
      <c r="AG25" s="1">
        <v>0</v>
      </c>
      <c r="AH25" s="1">
        <v>1.12512568</v>
      </c>
      <c r="AI25" s="1">
        <v>35.48634946</v>
      </c>
      <c r="AJ25" s="1">
        <v>0.41943472999999998</v>
      </c>
      <c r="AK25" s="1">
        <v>29.101625479999999</v>
      </c>
      <c r="AL25" s="1">
        <v>0</v>
      </c>
      <c r="AM25" s="1">
        <v>4.6255290699999998</v>
      </c>
      <c r="AN25" s="1">
        <v>29.45059732</v>
      </c>
      <c r="AO25" s="1">
        <v>5.1769894699999996</v>
      </c>
      <c r="AP25" s="1">
        <v>0.76263024999999995</v>
      </c>
      <c r="AQ25" s="1">
        <v>2.392006E-2</v>
      </c>
      <c r="AR25" s="1">
        <v>2.2131812599999998</v>
      </c>
      <c r="AS25" s="1">
        <v>0.31341982000000002</v>
      </c>
      <c r="AT25" s="4">
        <v>0</v>
      </c>
      <c r="AU25" s="1">
        <v>-5.6221103100000001</v>
      </c>
      <c r="AV25" s="1">
        <v>189.62880565</v>
      </c>
      <c r="AW25" s="1">
        <v>195.25091595999999</v>
      </c>
      <c r="AX25" s="1">
        <v>0</v>
      </c>
      <c r="AY25" s="4">
        <v>594.66328242999998</v>
      </c>
    </row>
    <row r="26" spans="1:51" x14ac:dyDescent="0.25">
      <c r="A26" s="14"/>
      <c r="B26" s="11"/>
      <c r="C26" s="1" t="s">
        <v>23</v>
      </c>
      <c r="D26" s="1">
        <v>0</v>
      </c>
      <c r="E26" s="1">
        <v>3859.4754263200002</v>
      </c>
      <c r="F26" s="1">
        <v>126.50292342</v>
      </c>
      <c r="G26" s="1">
        <v>108.54808463000001</v>
      </c>
      <c r="H26" s="1">
        <v>9.8683192300000009</v>
      </c>
      <c r="I26" s="1">
        <v>25.731618210000001</v>
      </c>
      <c r="J26" s="1">
        <v>699.01111562000006</v>
      </c>
      <c r="K26" s="1">
        <v>51.699018940000002</v>
      </c>
      <c r="L26" s="1">
        <v>360.54737304000002</v>
      </c>
      <c r="M26" s="1">
        <v>773.97801775999994</v>
      </c>
      <c r="N26" s="1">
        <v>2730.1373469999999</v>
      </c>
      <c r="O26" s="1">
        <v>1664.5122252000001</v>
      </c>
      <c r="P26" s="1">
        <v>390.91283748000001</v>
      </c>
      <c r="Q26" s="1">
        <v>256.30485302</v>
      </c>
      <c r="R26" s="1">
        <v>33.467424710000003</v>
      </c>
      <c r="S26" s="1">
        <v>1583.817755</v>
      </c>
      <c r="T26" s="1">
        <v>236.80168742999999</v>
      </c>
      <c r="U26" s="1">
        <v>39.211245009999999</v>
      </c>
      <c r="V26" s="1">
        <v>17.018571550000001</v>
      </c>
      <c r="W26" s="1">
        <v>9.1268718900000003</v>
      </c>
      <c r="X26" s="1">
        <v>87.010019</v>
      </c>
      <c r="Y26" s="1">
        <v>3.2032980000000003E-2</v>
      </c>
      <c r="Z26" s="1">
        <v>33.26670137</v>
      </c>
      <c r="AA26" s="1">
        <v>1003.22227274</v>
      </c>
      <c r="AB26" s="1">
        <v>1275.46422493</v>
      </c>
      <c r="AC26" s="1">
        <v>1186.6789724499999</v>
      </c>
      <c r="AD26" s="1">
        <v>157.01267276999999</v>
      </c>
      <c r="AE26" s="1">
        <v>84.041136980000005</v>
      </c>
      <c r="AF26" s="1">
        <v>25.633651069999999</v>
      </c>
      <c r="AG26" s="1">
        <v>0</v>
      </c>
      <c r="AH26" s="1">
        <v>167.01096541000001</v>
      </c>
      <c r="AI26" s="1">
        <v>652.84877486000005</v>
      </c>
      <c r="AJ26" s="1">
        <v>13.106840200000001</v>
      </c>
      <c r="AK26" s="1">
        <v>718.47533156999998</v>
      </c>
      <c r="AL26" s="1">
        <v>0</v>
      </c>
      <c r="AM26" s="1">
        <v>2762.2700540000001</v>
      </c>
      <c r="AN26" s="1">
        <v>21.61563456</v>
      </c>
      <c r="AO26" s="1">
        <v>248.54746495000001</v>
      </c>
      <c r="AP26" s="1">
        <v>15.100119469999999</v>
      </c>
      <c r="AQ26" s="1">
        <v>11.798416870000001</v>
      </c>
      <c r="AR26" s="1">
        <v>12.77599717</v>
      </c>
      <c r="AS26" s="1">
        <v>2.6516740099999998</v>
      </c>
      <c r="AT26" s="4">
        <v>28817.692879179998</v>
      </c>
      <c r="AU26" s="1">
        <v>0</v>
      </c>
      <c r="AV26" s="1">
        <v>28927.887622319999</v>
      </c>
      <c r="AW26" s="1">
        <v>0</v>
      </c>
      <c r="AX26" s="1">
        <v>110.19474314</v>
      </c>
      <c r="AY26" s="4">
        <v>30871.137541510001</v>
      </c>
    </row>
    <row r="27" spans="1:51" x14ac:dyDescent="0.25">
      <c r="A27" s="14"/>
      <c r="B27" s="11"/>
      <c r="C27" s="1" t="s">
        <v>24</v>
      </c>
      <c r="D27" s="1">
        <v>0</v>
      </c>
      <c r="E27" s="1">
        <v>4.9854036700000002</v>
      </c>
      <c r="F27" s="1">
        <v>0.24894642</v>
      </c>
      <c r="G27" s="1">
        <v>31.95077663</v>
      </c>
      <c r="H27" s="1">
        <v>0.38609086999999997</v>
      </c>
      <c r="I27" s="1">
        <v>4.9761694800000003</v>
      </c>
      <c r="J27" s="1">
        <v>2.0242557200000002</v>
      </c>
      <c r="K27" s="1">
        <v>69.370106079999999</v>
      </c>
      <c r="L27" s="1">
        <v>41.31203953</v>
      </c>
      <c r="M27" s="1">
        <v>12.240744360000001</v>
      </c>
      <c r="N27" s="1">
        <v>0.31524208999999997</v>
      </c>
      <c r="O27" s="1">
        <v>1.12798518</v>
      </c>
      <c r="P27" s="1">
        <v>2.84565644</v>
      </c>
      <c r="Q27" s="1">
        <v>0.49666434999999998</v>
      </c>
      <c r="R27" s="1">
        <v>7.7329435699999998</v>
      </c>
      <c r="S27" s="1">
        <v>163.89898216</v>
      </c>
      <c r="T27" s="1">
        <v>113.90126716</v>
      </c>
      <c r="U27" s="1">
        <v>0.14997933999999999</v>
      </c>
      <c r="V27" s="1">
        <v>5.4698700000000003E-2</v>
      </c>
      <c r="W27" s="1">
        <v>1.36897343</v>
      </c>
      <c r="X27" s="1">
        <v>224.48169247000001</v>
      </c>
      <c r="Y27" s="1">
        <v>9.4968360000000002E-2</v>
      </c>
      <c r="Z27" s="1">
        <v>30.14744907</v>
      </c>
      <c r="AA27" s="1">
        <v>26.326451939999998</v>
      </c>
      <c r="AB27" s="1">
        <v>250.15051077000001</v>
      </c>
      <c r="AC27" s="1">
        <v>1152.0038844400001</v>
      </c>
      <c r="AD27" s="1">
        <v>110.97824928</v>
      </c>
      <c r="AE27" s="1">
        <v>12.05359545</v>
      </c>
      <c r="AF27" s="1">
        <v>2.1073493000000001</v>
      </c>
      <c r="AG27" s="1">
        <v>0</v>
      </c>
      <c r="AH27" s="1">
        <v>576.37519656999996</v>
      </c>
      <c r="AI27" s="1">
        <v>778.78940871999998</v>
      </c>
      <c r="AJ27" s="1">
        <v>689.94418440000004</v>
      </c>
      <c r="AK27" s="1">
        <v>1705.1026881099999</v>
      </c>
      <c r="AL27" s="1">
        <v>0</v>
      </c>
      <c r="AM27" s="1">
        <v>93.528362790000003</v>
      </c>
      <c r="AN27" s="1">
        <v>15.293241330000001</v>
      </c>
      <c r="AO27" s="1">
        <v>182.59002705</v>
      </c>
      <c r="AP27" s="1">
        <v>2.0287601999999998</v>
      </c>
      <c r="AQ27" s="1">
        <v>0.35882886000000003</v>
      </c>
      <c r="AR27" s="1">
        <v>9.89727347</v>
      </c>
      <c r="AS27" s="1">
        <v>1.7086741299999999</v>
      </c>
      <c r="AT27" s="4">
        <v>1241.85530554</v>
      </c>
      <c r="AU27" s="1">
        <v>85.718029599999994</v>
      </c>
      <c r="AV27" s="1">
        <v>6974.9530667899999</v>
      </c>
      <c r="AW27" s="1">
        <v>3046.3048826200002</v>
      </c>
      <c r="AX27" s="1">
        <v>2601.0748490199999</v>
      </c>
      <c r="AY27" s="4">
        <v>18428.414946950001</v>
      </c>
    </row>
    <row r="28" spans="1:51" x14ac:dyDescent="0.25">
      <c r="A28" s="14"/>
      <c r="B28" s="11"/>
      <c r="C28" s="1" t="s">
        <v>25</v>
      </c>
      <c r="D28" s="1">
        <v>0</v>
      </c>
      <c r="E28" s="1">
        <v>3.6865136000000001</v>
      </c>
      <c r="F28" s="1">
        <v>0.1393163</v>
      </c>
      <c r="G28" s="1">
        <v>94.218426710000003</v>
      </c>
      <c r="H28" s="1">
        <v>17.2609444</v>
      </c>
      <c r="I28" s="1">
        <v>8.7432631799999996</v>
      </c>
      <c r="J28" s="1">
        <v>6.6686983800000004</v>
      </c>
      <c r="K28" s="1">
        <v>152.2203595</v>
      </c>
      <c r="L28" s="1">
        <v>1523.9927806999999</v>
      </c>
      <c r="M28" s="1">
        <v>155.51167312999999</v>
      </c>
      <c r="N28" s="1">
        <v>0.50391830999999998</v>
      </c>
      <c r="O28" s="1">
        <v>8.1348480500000004</v>
      </c>
      <c r="P28" s="1">
        <v>53.45440859</v>
      </c>
      <c r="Q28" s="1">
        <v>6.6529157699999999</v>
      </c>
      <c r="R28" s="1">
        <v>1298.32805523</v>
      </c>
      <c r="S28" s="1">
        <v>137.50717935</v>
      </c>
      <c r="T28" s="1">
        <v>46.691301690000003</v>
      </c>
      <c r="U28" s="1">
        <v>0.90284383000000001</v>
      </c>
      <c r="V28" s="1">
        <v>1.24223415</v>
      </c>
      <c r="W28" s="1">
        <v>30.32772362</v>
      </c>
      <c r="X28" s="1">
        <v>163.78163620999999</v>
      </c>
      <c r="Y28" s="1">
        <v>174.79548009000001</v>
      </c>
      <c r="Z28" s="1">
        <v>11.063286659999999</v>
      </c>
      <c r="AA28" s="1">
        <v>18.028077320000001</v>
      </c>
      <c r="AB28" s="1">
        <v>586.83952485999998</v>
      </c>
      <c r="AC28" s="1">
        <v>2378.3150776799998</v>
      </c>
      <c r="AD28" s="1">
        <v>227.59750765000001</v>
      </c>
      <c r="AE28" s="1">
        <v>12.68828706</v>
      </c>
      <c r="AF28" s="1">
        <v>3.8141094299999998</v>
      </c>
      <c r="AG28" s="1">
        <v>0</v>
      </c>
      <c r="AH28" s="1">
        <v>448.94009057</v>
      </c>
      <c r="AI28" s="1">
        <v>1124.8199517200001</v>
      </c>
      <c r="AJ28" s="1">
        <v>49.354493099999999</v>
      </c>
      <c r="AK28" s="1">
        <v>401.24658054000002</v>
      </c>
      <c r="AL28" s="1">
        <v>0</v>
      </c>
      <c r="AM28" s="1">
        <v>35.292783190000002</v>
      </c>
      <c r="AN28" s="1">
        <v>19.8180364</v>
      </c>
      <c r="AO28" s="1">
        <v>553.25007884000001</v>
      </c>
      <c r="AP28" s="1">
        <v>6.5153924600000002</v>
      </c>
      <c r="AQ28" s="1">
        <v>4.4850869400000004</v>
      </c>
      <c r="AR28" s="1">
        <v>17.590196219999999</v>
      </c>
      <c r="AS28" s="1">
        <v>2.7289852899999998</v>
      </c>
      <c r="AT28" s="4">
        <v>429.6376879</v>
      </c>
      <c r="AU28" s="1">
        <v>41.896685929999997</v>
      </c>
      <c r="AV28" s="1">
        <v>3499.5121782299998</v>
      </c>
      <c r="AW28" s="1">
        <v>1521.97278742</v>
      </c>
      <c r="AX28" s="1">
        <v>1506.0050169799999</v>
      </c>
      <c r="AY28" s="4">
        <v>15884.20918168</v>
      </c>
    </row>
    <row r="29" spans="1:51" x14ac:dyDescent="0.25">
      <c r="A29" s="14"/>
      <c r="B29" s="11"/>
      <c r="C29" s="1" t="s">
        <v>26</v>
      </c>
      <c r="D29" s="1">
        <v>0</v>
      </c>
      <c r="E29" s="1">
        <v>6.5241735500000004</v>
      </c>
      <c r="F29" s="1">
        <v>3.576973E-2</v>
      </c>
      <c r="G29" s="1">
        <v>1666.0934572900001</v>
      </c>
      <c r="H29" s="1">
        <v>29.67346306</v>
      </c>
      <c r="I29" s="1">
        <v>24.42911174</v>
      </c>
      <c r="J29" s="1">
        <v>6.5284826000000002</v>
      </c>
      <c r="K29" s="1">
        <v>31.68923118</v>
      </c>
      <c r="L29" s="1">
        <v>10.79688642</v>
      </c>
      <c r="M29" s="1">
        <v>72.155190869999998</v>
      </c>
      <c r="N29" s="1">
        <v>5.5166159999999999E-2</v>
      </c>
      <c r="O29" s="1">
        <v>14.49355765</v>
      </c>
      <c r="P29" s="1">
        <v>9.5052709899999996</v>
      </c>
      <c r="Q29" s="1">
        <v>1.78433843</v>
      </c>
      <c r="R29" s="1">
        <v>2.98771349</v>
      </c>
      <c r="S29" s="1">
        <v>2.7434134700000001</v>
      </c>
      <c r="T29" s="1">
        <v>8.6189489199999993</v>
      </c>
      <c r="U29" s="1">
        <v>6.0315979999999998E-2</v>
      </c>
      <c r="V29" s="1">
        <v>1.52465429</v>
      </c>
      <c r="W29" s="1">
        <v>8.7506994799999998</v>
      </c>
      <c r="X29" s="1">
        <v>92.526013640000002</v>
      </c>
      <c r="Y29" s="1">
        <v>46.16165093</v>
      </c>
      <c r="Z29" s="1">
        <v>10.958021390000001</v>
      </c>
      <c r="AA29" s="1">
        <v>12.191972959999999</v>
      </c>
      <c r="AB29" s="1">
        <v>342.21179840000002</v>
      </c>
      <c r="AC29" s="1">
        <v>175.06101228</v>
      </c>
      <c r="AD29" s="1">
        <v>29.185477540000001</v>
      </c>
      <c r="AE29" s="1">
        <v>1026.5325668600001</v>
      </c>
      <c r="AF29" s="1">
        <v>4.71067649</v>
      </c>
      <c r="AG29" s="1">
        <v>0</v>
      </c>
      <c r="AH29" s="1">
        <v>51.483550919999999</v>
      </c>
      <c r="AI29" s="1">
        <v>58.267614770000002</v>
      </c>
      <c r="AJ29" s="1">
        <v>95.497881129999996</v>
      </c>
      <c r="AK29" s="1">
        <v>145.36678556000001</v>
      </c>
      <c r="AL29" s="1">
        <v>0</v>
      </c>
      <c r="AM29" s="1">
        <v>15.94558763</v>
      </c>
      <c r="AN29" s="1">
        <v>4.8766062100000003</v>
      </c>
      <c r="AO29" s="1">
        <v>82.084961120000003</v>
      </c>
      <c r="AP29" s="1">
        <v>3.1914355400000001</v>
      </c>
      <c r="AQ29" s="1">
        <v>0.13508543000000001</v>
      </c>
      <c r="AR29" s="1">
        <v>5.2469551000000001</v>
      </c>
      <c r="AS29" s="1">
        <v>1.19804793</v>
      </c>
      <c r="AT29" s="4">
        <v>0</v>
      </c>
      <c r="AU29" s="1">
        <v>0</v>
      </c>
      <c r="AV29" s="1">
        <v>3658.7648973999999</v>
      </c>
      <c r="AW29" s="1">
        <v>3610.4646766800001</v>
      </c>
      <c r="AX29" s="1">
        <v>48.300220719999999</v>
      </c>
      <c r="AY29" s="4">
        <v>6490.9415726099996</v>
      </c>
    </row>
    <row r="30" spans="1:51" x14ac:dyDescent="0.25">
      <c r="A30" s="14"/>
      <c r="B30" s="11"/>
      <c r="C30" s="1" t="s">
        <v>27</v>
      </c>
      <c r="D30" s="1">
        <v>0</v>
      </c>
      <c r="E30" s="1">
        <v>8.4408124499999992</v>
      </c>
      <c r="F30" s="1">
        <v>3.9446368199999999</v>
      </c>
      <c r="G30" s="1">
        <v>1580.9091845200001</v>
      </c>
      <c r="H30" s="1">
        <v>0.20974314999999999</v>
      </c>
      <c r="I30" s="1">
        <v>1.73851614</v>
      </c>
      <c r="J30" s="1">
        <v>12.120744780000001</v>
      </c>
      <c r="K30" s="1">
        <v>12.73750645</v>
      </c>
      <c r="L30" s="1">
        <v>104.36260806999999</v>
      </c>
      <c r="M30" s="1">
        <v>1006.79378525</v>
      </c>
      <c r="N30" s="1">
        <v>14.27028413</v>
      </c>
      <c r="O30" s="1">
        <v>16.95709948</v>
      </c>
      <c r="P30" s="1">
        <v>6.85881162</v>
      </c>
      <c r="Q30" s="1">
        <v>56.317617380000002</v>
      </c>
      <c r="R30" s="1">
        <v>23.574876549999999</v>
      </c>
      <c r="S30" s="1">
        <v>7.4290843100000004</v>
      </c>
      <c r="T30" s="1">
        <v>2.2731495000000002</v>
      </c>
      <c r="U30" s="1">
        <v>0.33074135999999998</v>
      </c>
      <c r="V30" s="1">
        <v>0.43883281000000002</v>
      </c>
      <c r="W30" s="1">
        <v>14.31356018</v>
      </c>
      <c r="X30" s="1">
        <v>252.61916331</v>
      </c>
      <c r="Y30" s="1">
        <v>1.6268987699999999</v>
      </c>
      <c r="Z30" s="1">
        <v>21.402552849999999</v>
      </c>
      <c r="AA30" s="1">
        <v>5.1585307599999997</v>
      </c>
      <c r="AB30" s="1">
        <v>362.02867569</v>
      </c>
      <c r="AC30" s="1">
        <v>261.29290281999999</v>
      </c>
      <c r="AD30" s="1">
        <v>8.0342916399999993</v>
      </c>
      <c r="AE30" s="1">
        <v>2130.5145232300001</v>
      </c>
      <c r="AF30" s="1">
        <v>7.4091198800000004</v>
      </c>
      <c r="AG30" s="1">
        <v>0</v>
      </c>
      <c r="AH30" s="1">
        <v>3.05786303</v>
      </c>
      <c r="AI30" s="1">
        <v>205.36603055</v>
      </c>
      <c r="AJ30" s="1">
        <v>0.33232445999999999</v>
      </c>
      <c r="AK30" s="1">
        <v>71.426225000000002</v>
      </c>
      <c r="AL30" s="1">
        <v>0</v>
      </c>
      <c r="AM30" s="1">
        <v>46.962240090000002</v>
      </c>
      <c r="AN30" s="1">
        <v>29.448512749999999</v>
      </c>
      <c r="AO30" s="1">
        <v>8.8006558100000003</v>
      </c>
      <c r="AP30" s="1">
        <v>3.8981146999999998</v>
      </c>
      <c r="AQ30" s="1">
        <v>1.31230834</v>
      </c>
      <c r="AR30" s="1">
        <v>1.28331141</v>
      </c>
      <c r="AS30" s="1">
        <v>3.3320810600000002</v>
      </c>
      <c r="AT30" s="4">
        <v>641.69855543999995</v>
      </c>
      <c r="AU30" s="1">
        <v>387.49236031999999</v>
      </c>
      <c r="AV30" s="1">
        <v>6549.0983571400002</v>
      </c>
      <c r="AW30" s="1">
        <v>5169.5806147100002</v>
      </c>
      <c r="AX30" s="1">
        <v>350.32682667</v>
      </c>
      <c r="AY30" s="4">
        <v>15978.103366720001</v>
      </c>
    </row>
    <row r="31" spans="1:51" x14ac:dyDescent="0.25">
      <c r="A31" s="14"/>
      <c r="B31" s="11"/>
      <c r="C31" s="1" t="s">
        <v>28</v>
      </c>
      <c r="D31" s="1">
        <v>0</v>
      </c>
      <c r="E31" s="1">
        <v>4.7585675800000002</v>
      </c>
      <c r="F31" s="1">
        <v>37.4039231</v>
      </c>
      <c r="G31" s="1">
        <v>6.4877846300000002</v>
      </c>
      <c r="H31" s="1">
        <v>0.49814361000000001</v>
      </c>
      <c r="I31" s="1">
        <v>6.5366073900000004</v>
      </c>
      <c r="J31" s="1">
        <v>53.747396569999999</v>
      </c>
      <c r="K31" s="1">
        <v>4.2296153800000003</v>
      </c>
      <c r="L31" s="1">
        <v>13.7114563</v>
      </c>
      <c r="M31" s="1">
        <v>42.749916480000003</v>
      </c>
      <c r="N31" s="1">
        <v>80.895308380000003</v>
      </c>
      <c r="O31" s="1">
        <v>88.154373609999993</v>
      </c>
      <c r="P31" s="1">
        <v>32.206555680000001</v>
      </c>
      <c r="Q31" s="1">
        <v>59.311069240000002</v>
      </c>
      <c r="R31" s="1">
        <v>1.7217974899999999</v>
      </c>
      <c r="S31" s="1">
        <v>8.2620516100000003</v>
      </c>
      <c r="T31" s="1">
        <v>1.2393832499999999</v>
      </c>
      <c r="U31" s="1">
        <v>1.3489544200000001</v>
      </c>
      <c r="V31" s="1">
        <v>1.41809199</v>
      </c>
      <c r="W31" s="1">
        <v>6.3232491199999998</v>
      </c>
      <c r="X31" s="1">
        <v>124.88985921</v>
      </c>
      <c r="Y31" s="1">
        <v>0.54904776</v>
      </c>
      <c r="Z31" s="1">
        <v>4.9122045600000002</v>
      </c>
      <c r="AA31" s="1">
        <v>9.9403742099999999</v>
      </c>
      <c r="AB31" s="1">
        <v>60.020023369999997</v>
      </c>
      <c r="AC31" s="1">
        <v>118.16454767</v>
      </c>
      <c r="AD31" s="1">
        <v>2.4716211700000001</v>
      </c>
      <c r="AE31" s="1">
        <v>2.4783377400000002</v>
      </c>
      <c r="AF31" s="1">
        <v>598.45187596000005</v>
      </c>
      <c r="AG31" s="1">
        <v>1.6686053300000001</v>
      </c>
      <c r="AH31" s="1">
        <v>1.3240208899999999</v>
      </c>
      <c r="AI31" s="1">
        <v>108.06296924999999</v>
      </c>
      <c r="AJ31" s="1">
        <v>0.76410096000000005</v>
      </c>
      <c r="AK31" s="1">
        <v>71.317225489999998</v>
      </c>
      <c r="AL31" s="1">
        <v>0</v>
      </c>
      <c r="AM31" s="1">
        <v>33.528965339999999</v>
      </c>
      <c r="AN31" s="1">
        <v>6.9555126600000001</v>
      </c>
      <c r="AO31" s="1">
        <v>8.7565863200000003</v>
      </c>
      <c r="AP31" s="1">
        <v>0.74340183000000004</v>
      </c>
      <c r="AQ31" s="1">
        <v>3.0863360399999999</v>
      </c>
      <c r="AR31" s="1">
        <v>0.75049208999999995</v>
      </c>
      <c r="AS31" s="1">
        <v>0.55767361999999998</v>
      </c>
      <c r="AT31" s="4">
        <v>0</v>
      </c>
      <c r="AU31" s="1">
        <v>76.792144429999993</v>
      </c>
      <c r="AV31" s="1">
        <v>87.260555240000002</v>
      </c>
      <c r="AW31" s="1">
        <v>4.7464835000000001</v>
      </c>
      <c r="AX31" s="1">
        <v>5.7219273099999999</v>
      </c>
      <c r="AY31" s="4">
        <v>3705.5969419899998</v>
      </c>
    </row>
    <row r="32" spans="1:51" x14ac:dyDescent="0.25">
      <c r="A32" s="14"/>
      <c r="B32" s="11"/>
      <c r="C32" s="1" t="s">
        <v>29</v>
      </c>
      <c r="D32" s="1">
        <v>0</v>
      </c>
      <c r="E32" s="1">
        <v>0.41229367</v>
      </c>
      <c r="F32" s="1">
        <v>171.23642964999999</v>
      </c>
      <c r="G32" s="1">
        <v>2.1433219499999998</v>
      </c>
      <c r="H32" s="1">
        <v>0.10591505</v>
      </c>
      <c r="I32" s="1">
        <v>1.8426394500000001</v>
      </c>
      <c r="J32" s="1">
        <v>0.11471386</v>
      </c>
      <c r="K32" s="1">
        <v>1.33202142</v>
      </c>
      <c r="L32" s="1">
        <v>1.4442938000000001</v>
      </c>
      <c r="M32" s="1">
        <v>9.2396003400000009</v>
      </c>
      <c r="N32" s="1">
        <v>1.74555708</v>
      </c>
      <c r="O32" s="1">
        <v>1.84598558</v>
      </c>
      <c r="P32" s="1">
        <v>0.92925199000000003</v>
      </c>
      <c r="Q32" s="1">
        <v>14.935797239999999</v>
      </c>
      <c r="R32" s="1">
        <v>0.62013841999999997</v>
      </c>
      <c r="S32" s="1">
        <v>1.07026154</v>
      </c>
      <c r="T32" s="1">
        <v>0.20714829000000001</v>
      </c>
      <c r="U32" s="1">
        <v>1.8195184900000001</v>
      </c>
      <c r="V32" s="1">
        <v>0.54143545999999998</v>
      </c>
      <c r="W32" s="1">
        <v>0.68669690999999999</v>
      </c>
      <c r="X32" s="1">
        <v>30.908612170000001</v>
      </c>
      <c r="Y32" s="1">
        <v>0.55902940000000001</v>
      </c>
      <c r="Z32" s="1">
        <v>1.30114913</v>
      </c>
      <c r="AA32" s="1">
        <v>2.8968071599999998</v>
      </c>
      <c r="AB32" s="1">
        <v>7.4727597000000001</v>
      </c>
      <c r="AC32" s="1">
        <v>18.0945584</v>
      </c>
      <c r="AD32" s="1">
        <v>1.5118470399999999</v>
      </c>
      <c r="AE32" s="1">
        <v>1.08143269</v>
      </c>
      <c r="AF32" s="1">
        <v>0.24393777999999999</v>
      </c>
      <c r="AG32" s="1">
        <v>0.88250645000000005</v>
      </c>
      <c r="AH32" s="1">
        <v>1.05679243</v>
      </c>
      <c r="AI32" s="1">
        <v>13.68311308</v>
      </c>
      <c r="AJ32" s="1">
        <v>0.68978158000000001</v>
      </c>
      <c r="AK32" s="1">
        <v>20.804741140000001</v>
      </c>
      <c r="AL32" s="1">
        <v>0</v>
      </c>
      <c r="AM32" s="1">
        <v>5.8037843499999999</v>
      </c>
      <c r="AN32" s="1">
        <v>1.49873301</v>
      </c>
      <c r="AO32" s="1">
        <v>4.1353906599999997</v>
      </c>
      <c r="AP32" s="1">
        <v>1.0544949400000001</v>
      </c>
      <c r="AQ32" s="1">
        <v>9.7772300000000006E-2</v>
      </c>
      <c r="AR32" s="1">
        <v>1.45386459</v>
      </c>
      <c r="AS32" s="1">
        <v>0.14882182999999999</v>
      </c>
      <c r="AT32" s="4">
        <v>0</v>
      </c>
      <c r="AU32" s="1">
        <v>7.7635975300000002</v>
      </c>
      <c r="AV32" s="1">
        <v>31.326962959999999</v>
      </c>
      <c r="AW32" s="1">
        <v>0</v>
      </c>
      <c r="AX32" s="1">
        <v>23.563365430000001</v>
      </c>
      <c r="AY32" s="4">
        <v>1646.52921965</v>
      </c>
    </row>
    <row r="33" spans="1:51" x14ac:dyDescent="0.25">
      <c r="A33" s="14"/>
      <c r="B33" s="11"/>
      <c r="C33" s="1" t="s">
        <v>30</v>
      </c>
      <c r="D33" s="1">
        <v>0</v>
      </c>
      <c r="E33" s="1">
        <v>3.93265149</v>
      </c>
      <c r="F33" s="1">
        <v>5.0887999999999997E-4</v>
      </c>
      <c r="G33" s="1">
        <v>79.338665989999996</v>
      </c>
      <c r="H33" s="1">
        <v>0.45016289999999998</v>
      </c>
      <c r="I33" s="1">
        <v>4.6756473600000001</v>
      </c>
      <c r="J33" s="1">
        <v>1.22165656</v>
      </c>
      <c r="K33" s="1">
        <v>273.77401021999998</v>
      </c>
      <c r="L33" s="1">
        <v>8.8764423400000005</v>
      </c>
      <c r="M33" s="1">
        <v>27.364484470000001</v>
      </c>
      <c r="N33" s="1">
        <v>8.9722000000000001E-4</v>
      </c>
      <c r="O33" s="1">
        <v>23.23885752</v>
      </c>
      <c r="P33" s="1">
        <v>26.631624009999999</v>
      </c>
      <c r="Q33" s="1">
        <v>4.5474489999999999E-2</v>
      </c>
      <c r="R33" s="1">
        <v>7.2134250499999997</v>
      </c>
      <c r="S33" s="1">
        <v>216.06094593</v>
      </c>
      <c r="T33" s="1">
        <v>1845.2040511</v>
      </c>
      <c r="U33" s="1">
        <v>14.045614499999999</v>
      </c>
      <c r="V33" s="1">
        <v>0.68955283000000001</v>
      </c>
      <c r="W33" s="1">
        <v>1.54318965</v>
      </c>
      <c r="X33" s="1">
        <v>93.514825049999999</v>
      </c>
      <c r="Y33" s="1">
        <v>0.82098362000000003</v>
      </c>
      <c r="Z33" s="1">
        <v>8.1992495999999999</v>
      </c>
      <c r="AA33" s="1">
        <v>3.3438245100000001</v>
      </c>
      <c r="AB33" s="1">
        <v>359.37267194999998</v>
      </c>
      <c r="AC33" s="1">
        <v>155.1487046</v>
      </c>
      <c r="AD33" s="1">
        <v>113.58244902</v>
      </c>
      <c r="AE33" s="1">
        <v>23.415908590000001</v>
      </c>
      <c r="AF33" s="1">
        <v>0</v>
      </c>
      <c r="AG33" s="1">
        <v>0</v>
      </c>
      <c r="AH33" s="1">
        <v>5003.4812305200003</v>
      </c>
      <c r="AI33" s="1">
        <v>240.79088161000001</v>
      </c>
      <c r="AJ33" s="1">
        <v>322.88898072000001</v>
      </c>
      <c r="AK33" s="1">
        <v>1443.47082015</v>
      </c>
      <c r="AL33" s="1">
        <v>0</v>
      </c>
      <c r="AM33" s="1">
        <v>137.37855619999999</v>
      </c>
      <c r="AN33" s="1">
        <v>15.51778889</v>
      </c>
      <c r="AO33" s="1">
        <v>51.246221480000003</v>
      </c>
      <c r="AP33" s="1">
        <v>5.2095887999999997</v>
      </c>
      <c r="AQ33" s="1">
        <v>0.43199197</v>
      </c>
      <c r="AR33" s="1">
        <v>29.13003702</v>
      </c>
      <c r="AS33" s="1">
        <v>3.1965405800000002</v>
      </c>
      <c r="AT33" s="4">
        <v>5059.2757242099997</v>
      </c>
      <c r="AU33" s="1">
        <v>0</v>
      </c>
      <c r="AV33" s="1">
        <v>7724.6194709000001</v>
      </c>
      <c r="AW33" s="1">
        <v>2206.5968000900002</v>
      </c>
      <c r="AX33" s="1">
        <v>458.7469466</v>
      </c>
      <c r="AY33" s="4">
        <v>16760.951383079999</v>
      </c>
    </row>
    <row r="34" spans="1:51" x14ac:dyDescent="0.25">
      <c r="A34" s="14"/>
      <c r="B34" s="11"/>
      <c r="C34" s="1" t="s">
        <v>31</v>
      </c>
      <c r="D34" s="1">
        <v>0</v>
      </c>
      <c r="E34" s="1">
        <v>2.3648232899999999</v>
      </c>
      <c r="F34" s="1">
        <v>3.8478800000000001E-3</v>
      </c>
      <c r="G34" s="1">
        <v>34.196778649999999</v>
      </c>
      <c r="H34" s="1">
        <v>4.4534310000000001E-2</v>
      </c>
      <c r="I34" s="1">
        <v>9.0623155099999995</v>
      </c>
      <c r="J34" s="1">
        <v>1.2724213799999999</v>
      </c>
      <c r="K34" s="1">
        <v>162.50304600999999</v>
      </c>
      <c r="L34" s="1">
        <v>5.0454891399999999</v>
      </c>
      <c r="M34" s="1">
        <v>0.96391855000000004</v>
      </c>
      <c r="N34" s="1">
        <v>2.5808E-4</v>
      </c>
      <c r="O34" s="1">
        <v>6.757647E-2</v>
      </c>
      <c r="P34" s="1">
        <v>1.34150082</v>
      </c>
      <c r="Q34" s="1">
        <v>4.5642886300000001</v>
      </c>
      <c r="R34" s="1">
        <v>5.8795822900000001</v>
      </c>
      <c r="S34" s="1">
        <v>1.07545037</v>
      </c>
      <c r="T34" s="1">
        <v>17.095976279999999</v>
      </c>
      <c r="U34" s="1">
        <v>5.2366000000000001E-4</v>
      </c>
      <c r="V34" s="1">
        <v>5.6547149999999997E-2</v>
      </c>
      <c r="W34" s="1">
        <v>0.92455834999999997</v>
      </c>
      <c r="X34" s="1">
        <v>20.232757960000001</v>
      </c>
      <c r="Y34" s="1">
        <v>0.15794437</v>
      </c>
      <c r="Z34" s="1">
        <v>6.7946610400000003</v>
      </c>
      <c r="AA34" s="1">
        <v>7.9815148599999999</v>
      </c>
      <c r="AB34" s="1">
        <v>66.715125029999996</v>
      </c>
      <c r="AC34" s="1">
        <v>150.37135597</v>
      </c>
      <c r="AD34" s="1">
        <v>206.59614264000001</v>
      </c>
      <c r="AE34" s="1">
        <v>9.9946698499999993</v>
      </c>
      <c r="AF34" s="1">
        <v>0.34895158999999998</v>
      </c>
      <c r="AG34" s="1">
        <v>0</v>
      </c>
      <c r="AH34" s="1">
        <v>228.97989770999999</v>
      </c>
      <c r="AI34" s="1">
        <v>1306.3026500200001</v>
      </c>
      <c r="AJ34" s="1">
        <v>281.26436002000003</v>
      </c>
      <c r="AK34" s="1">
        <v>570.33609659000001</v>
      </c>
      <c r="AL34" s="1">
        <v>0</v>
      </c>
      <c r="AM34" s="1">
        <v>8.5732088900000001</v>
      </c>
      <c r="AN34" s="1">
        <v>14.29451667</v>
      </c>
      <c r="AO34" s="1">
        <v>66.42123857</v>
      </c>
      <c r="AP34" s="1">
        <v>20.210083829999999</v>
      </c>
      <c r="AQ34" s="1">
        <v>5.8321835799999997</v>
      </c>
      <c r="AR34" s="1">
        <v>11.388594550000001</v>
      </c>
      <c r="AS34" s="1">
        <v>6.8757531399999996</v>
      </c>
      <c r="AT34" s="4">
        <v>0</v>
      </c>
      <c r="AU34" s="1">
        <v>0</v>
      </c>
      <c r="AV34" s="1">
        <v>4768.40463705</v>
      </c>
      <c r="AW34" s="1">
        <v>4684.8024920899998</v>
      </c>
      <c r="AX34" s="1">
        <v>83.602144960000004</v>
      </c>
      <c r="AY34" s="4">
        <v>12712.75753889</v>
      </c>
    </row>
    <row r="35" spans="1:51" x14ac:dyDescent="0.25">
      <c r="A35" s="14"/>
      <c r="B35" s="11"/>
      <c r="C35" s="1" t="s">
        <v>32</v>
      </c>
      <c r="D35" s="1">
        <v>0</v>
      </c>
      <c r="E35" s="1">
        <v>190.32313227</v>
      </c>
      <c r="F35" s="1">
        <v>7.8102018099999997</v>
      </c>
      <c r="G35" s="1">
        <v>36.493101410000001</v>
      </c>
      <c r="H35" s="1">
        <v>0.23386291000000001</v>
      </c>
      <c r="I35" s="1">
        <v>10.86556392</v>
      </c>
      <c r="J35" s="1">
        <v>2.88201558</v>
      </c>
      <c r="K35" s="1">
        <v>14.494956090000001</v>
      </c>
      <c r="L35" s="1">
        <v>5.1363422099999996</v>
      </c>
      <c r="M35" s="1">
        <v>20.284097760000002</v>
      </c>
      <c r="N35" s="1">
        <v>8.8009017000000007</v>
      </c>
      <c r="O35" s="1">
        <v>26.724789099999999</v>
      </c>
      <c r="P35" s="1">
        <v>0.69786108000000002</v>
      </c>
      <c r="Q35" s="1">
        <v>1.14949163</v>
      </c>
      <c r="R35" s="1">
        <v>4.5296303800000004</v>
      </c>
      <c r="S35" s="1">
        <v>135.50066806999999</v>
      </c>
      <c r="T35" s="1">
        <v>28.628253999999998</v>
      </c>
      <c r="U35" s="1">
        <v>3.6659959999999998E-2</v>
      </c>
      <c r="V35" s="1">
        <v>7.9266527800000004</v>
      </c>
      <c r="W35" s="1">
        <v>48.722438850000003</v>
      </c>
      <c r="X35" s="1">
        <v>100.62511855</v>
      </c>
      <c r="Y35" s="1">
        <v>5.2512630199999997</v>
      </c>
      <c r="Z35" s="1">
        <v>11.324541610000001</v>
      </c>
      <c r="AA35" s="1">
        <v>594.74729795999997</v>
      </c>
      <c r="AB35" s="1">
        <v>92.812544110000005</v>
      </c>
      <c r="AC35" s="1">
        <v>53.915199190000003</v>
      </c>
      <c r="AD35" s="1">
        <v>10.44463985</v>
      </c>
      <c r="AE35" s="1">
        <v>31.650005180000001</v>
      </c>
      <c r="AF35" s="1">
        <v>2.8246588400000001</v>
      </c>
      <c r="AG35" s="1">
        <v>0</v>
      </c>
      <c r="AH35" s="1">
        <v>89.098163229999997</v>
      </c>
      <c r="AI35" s="1">
        <v>574.00122237999994</v>
      </c>
      <c r="AJ35" s="1">
        <v>839.36556444999997</v>
      </c>
      <c r="AK35" s="1">
        <v>903.30363097999998</v>
      </c>
      <c r="AL35" s="1">
        <v>0</v>
      </c>
      <c r="AM35" s="1">
        <v>6.8955913799999999</v>
      </c>
      <c r="AN35" s="1">
        <v>20.84131107</v>
      </c>
      <c r="AO35" s="1">
        <v>88.192218990000001</v>
      </c>
      <c r="AP35" s="1">
        <v>3.13801153</v>
      </c>
      <c r="AQ35" s="1">
        <v>1.257636E-2</v>
      </c>
      <c r="AR35" s="1">
        <v>4.6209073299999996</v>
      </c>
      <c r="AS35" s="1">
        <v>6.8985891099999996</v>
      </c>
      <c r="AT35" s="4">
        <v>1904.0776900000001</v>
      </c>
      <c r="AU35" s="1">
        <v>0</v>
      </c>
      <c r="AV35" s="1">
        <v>9171.4658598000005</v>
      </c>
      <c r="AW35" s="1">
        <v>7267.3881697999996</v>
      </c>
      <c r="AX35" s="1">
        <v>0</v>
      </c>
      <c r="AY35" s="4">
        <v>12335.87673231</v>
      </c>
    </row>
    <row r="36" spans="1:51" x14ac:dyDescent="0.25">
      <c r="A36" s="14"/>
      <c r="B36" s="11"/>
      <c r="C36" s="1" t="s">
        <v>33</v>
      </c>
      <c r="D36" s="1">
        <v>0</v>
      </c>
      <c r="E36" s="1">
        <v>4.9322340200000001</v>
      </c>
      <c r="F36" s="1">
        <v>1.176457E-2</v>
      </c>
      <c r="G36" s="1">
        <v>179.33645798000001</v>
      </c>
      <c r="H36" s="1">
        <v>2.40711217</v>
      </c>
      <c r="I36" s="1">
        <v>97.034957939999998</v>
      </c>
      <c r="J36" s="1">
        <v>2.0883335299999999</v>
      </c>
      <c r="K36" s="1">
        <v>592.15521987</v>
      </c>
      <c r="L36" s="1">
        <v>400.31980374</v>
      </c>
      <c r="M36" s="1">
        <v>47.18196451</v>
      </c>
      <c r="N36" s="1">
        <v>0.1490031</v>
      </c>
      <c r="O36" s="1">
        <v>58.253655649999999</v>
      </c>
      <c r="P36" s="1">
        <v>30.38579859</v>
      </c>
      <c r="Q36" s="1">
        <v>13.16057241</v>
      </c>
      <c r="R36" s="1">
        <v>380.97180501000003</v>
      </c>
      <c r="S36" s="1">
        <v>97.670130529999994</v>
      </c>
      <c r="T36" s="1">
        <v>570.20859313999995</v>
      </c>
      <c r="U36" s="1">
        <v>1.0258714499999999</v>
      </c>
      <c r="V36" s="1">
        <v>12.243589679999999</v>
      </c>
      <c r="W36" s="1">
        <v>33.564320729999999</v>
      </c>
      <c r="X36" s="1">
        <v>59.268147710000001</v>
      </c>
      <c r="Y36" s="1">
        <v>2.5153525600000002</v>
      </c>
      <c r="Z36" s="1">
        <v>9.2490668500000002</v>
      </c>
      <c r="AA36" s="1">
        <v>7.7817767499999997</v>
      </c>
      <c r="AB36" s="1">
        <v>479.11549341</v>
      </c>
      <c r="AC36" s="1">
        <v>571.14385359000005</v>
      </c>
      <c r="AD36" s="1">
        <v>659.91901660999997</v>
      </c>
      <c r="AE36" s="1">
        <v>222.76154503999999</v>
      </c>
      <c r="AF36" s="1">
        <v>5.4388927300000001</v>
      </c>
      <c r="AG36" s="1">
        <v>0</v>
      </c>
      <c r="AH36" s="1">
        <v>880.77000327999997</v>
      </c>
      <c r="AI36" s="1">
        <v>785.82896547999997</v>
      </c>
      <c r="AJ36" s="1">
        <v>266.24170672999998</v>
      </c>
      <c r="AK36" s="1">
        <v>2250.1994649399999</v>
      </c>
      <c r="AL36" s="1">
        <v>0</v>
      </c>
      <c r="AM36" s="1">
        <v>9.9408776700000008</v>
      </c>
      <c r="AN36" s="1">
        <v>36.934311719999997</v>
      </c>
      <c r="AO36" s="1">
        <v>179.86160447</v>
      </c>
      <c r="AP36" s="1">
        <v>17.574987109999999</v>
      </c>
      <c r="AQ36" s="1">
        <v>0.11022593</v>
      </c>
      <c r="AR36" s="1">
        <v>3.9097196599999999</v>
      </c>
      <c r="AS36" s="1">
        <v>9.9991973400000003</v>
      </c>
      <c r="AT36" s="4">
        <v>0</v>
      </c>
      <c r="AU36" s="1">
        <v>0</v>
      </c>
      <c r="AV36" s="1">
        <v>1492.91302746</v>
      </c>
      <c r="AW36" s="1">
        <v>926.91460623</v>
      </c>
      <c r="AX36" s="1">
        <v>565.99842122999996</v>
      </c>
      <c r="AY36" s="4">
        <v>14727.83223125</v>
      </c>
    </row>
    <row r="37" spans="1:51" x14ac:dyDescent="0.25">
      <c r="A37" s="14"/>
      <c r="B37" s="11"/>
      <c r="C37" s="1" t="s">
        <v>34</v>
      </c>
      <c r="D37" s="1">
        <v>1.20508288</v>
      </c>
      <c r="E37" s="1">
        <v>3.1382566700000001</v>
      </c>
      <c r="F37" s="1">
        <v>9.3346499999999999E-3</v>
      </c>
      <c r="G37" s="1">
        <v>15.5631193</v>
      </c>
      <c r="H37" s="1">
        <v>9.8190559999999996E-2</v>
      </c>
      <c r="I37" s="1">
        <v>0.12271492000000001</v>
      </c>
      <c r="J37" s="1">
        <v>6.2818689999999996E-2</v>
      </c>
      <c r="K37" s="1">
        <v>8.8682381199999991</v>
      </c>
      <c r="L37" s="1">
        <v>0.17831785</v>
      </c>
      <c r="M37" s="1">
        <v>81.890594719999996</v>
      </c>
      <c r="N37" s="1">
        <v>2.4966976700000001</v>
      </c>
      <c r="O37" s="1">
        <v>23.210851219999999</v>
      </c>
      <c r="P37" s="1">
        <v>6.3125522099999998</v>
      </c>
      <c r="Q37" s="1">
        <v>1.0461786900000001</v>
      </c>
      <c r="R37" s="1">
        <v>8.6780685500000008</v>
      </c>
      <c r="S37" s="1">
        <v>31.362843770000001</v>
      </c>
      <c r="T37" s="1">
        <v>49.058670710000001</v>
      </c>
      <c r="U37" s="1">
        <v>78.392938999999998</v>
      </c>
      <c r="V37" s="1">
        <v>3.4799900000000001E-3</v>
      </c>
      <c r="W37" s="1">
        <v>0.14180118999999999</v>
      </c>
      <c r="X37" s="1">
        <v>13.02566648</v>
      </c>
      <c r="Y37" s="1">
        <v>2.0860670000000001E-2</v>
      </c>
      <c r="Z37" s="1">
        <v>1.6687171700000001</v>
      </c>
      <c r="AA37" s="1">
        <v>1.5090819600000001</v>
      </c>
      <c r="AB37" s="1">
        <v>34.989608769999997</v>
      </c>
      <c r="AC37" s="1">
        <v>20.140385370000001</v>
      </c>
      <c r="AD37" s="1">
        <v>4.9090800400000001</v>
      </c>
      <c r="AE37" s="1">
        <v>13.68543489</v>
      </c>
      <c r="AF37" s="1">
        <v>1.8406180000000001E-2</v>
      </c>
      <c r="AG37" s="1">
        <v>2.7891E-4</v>
      </c>
      <c r="AH37" s="1">
        <v>26.30057648</v>
      </c>
      <c r="AI37" s="1">
        <v>5.1009402000000001</v>
      </c>
      <c r="AJ37" s="1">
        <v>8.4938811399999992</v>
      </c>
      <c r="AK37" s="1">
        <v>36.143918159999998</v>
      </c>
      <c r="AL37" s="1">
        <v>25.836255959999999</v>
      </c>
      <c r="AM37" s="1">
        <v>88.143429589999997</v>
      </c>
      <c r="AN37" s="1">
        <v>3.5535108900000001</v>
      </c>
      <c r="AO37" s="1">
        <v>23.40102211</v>
      </c>
      <c r="AP37" s="1">
        <v>1.1351796999999999</v>
      </c>
      <c r="AQ37" s="1">
        <v>0.33191084999999998</v>
      </c>
      <c r="AR37" s="1">
        <v>1.2177917300000001</v>
      </c>
      <c r="AS37" s="1">
        <v>1.2774096699999999</v>
      </c>
      <c r="AT37" s="4">
        <v>2321.4416046900001</v>
      </c>
      <c r="AU37" s="1">
        <v>0</v>
      </c>
      <c r="AV37" s="1">
        <v>3031.4550760900001</v>
      </c>
      <c r="AW37" s="1">
        <v>549.90729444999999</v>
      </c>
      <c r="AX37" s="1">
        <v>160.10617696</v>
      </c>
      <c r="AY37" s="4">
        <v>3057.2913320600001</v>
      </c>
    </row>
    <row r="38" spans="1:51" x14ac:dyDescent="0.25">
      <c r="A38" s="14"/>
      <c r="B38" s="11"/>
      <c r="C38" s="1" t="s">
        <v>35</v>
      </c>
      <c r="D38" s="1">
        <v>0</v>
      </c>
      <c r="E38" s="1">
        <v>82.461721330000003</v>
      </c>
      <c r="F38" s="1">
        <v>2.5888410000000001E-2</v>
      </c>
      <c r="G38" s="1">
        <v>26.283960530000002</v>
      </c>
      <c r="H38" s="1">
        <v>12.57582449</v>
      </c>
      <c r="I38" s="1">
        <v>10.703197319999999</v>
      </c>
      <c r="J38" s="1">
        <v>63.041619849999996</v>
      </c>
      <c r="K38" s="1">
        <v>86.393392879999993</v>
      </c>
      <c r="L38" s="1">
        <v>121.73539319</v>
      </c>
      <c r="M38" s="1">
        <v>153.29364228</v>
      </c>
      <c r="N38" s="1">
        <v>23.847449449999999</v>
      </c>
      <c r="O38" s="1">
        <v>264.63446071999999</v>
      </c>
      <c r="P38" s="1">
        <v>0.64640344999999999</v>
      </c>
      <c r="Q38" s="1">
        <v>33.67758104</v>
      </c>
      <c r="R38" s="1">
        <v>57.19041988</v>
      </c>
      <c r="S38" s="1">
        <v>209.97350653000001</v>
      </c>
      <c r="T38" s="1">
        <v>236.03061023999999</v>
      </c>
      <c r="U38" s="1">
        <v>213.68044452999999</v>
      </c>
      <c r="V38" s="1">
        <v>34.342964010000003</v>
      </c>
      <c r="W38" s="1">
        <v>9.5887284499999996</v>
      </c>
      <c r="X38" s="1">
        <v>9.4333214200000004</v>
      </c>
      <c r="Y38" s="1">
        <v>0.48237391000000002</v>
      </c>
      <c r="Z38" s="1">
        <v>3.9695175100000002</v>
      </c>
      <c r="AA38" s="1">
        <v>3.0529419999999998</v>
      </c>
      <c r="AB38" s="1">
        <v>239.74158736999999</v>
      </c>
      <c r="AC38" s="1">
        <v>281.29920256999998</v>
      </c>
      <c r="AD38" s="1">
        <v>229.21173268000001</v>
      </c>
      <c r="AE38" s="1">
        <v>21.124302440000001</v>
      </c>
      <c r="AF38" s="1">
        <v>5.6597260499999997</v>
      </c>
      <c r="AG38" s="1">
        <v>0</v>
      </c>
      <c r="AH38" s="1">
        <v>226.40533675</v>
      </c>
      <c r="AI38" s="1">
        <v>115.96151643</v>
      </c>
      <c r="AJ38" s="1">
        <v>28.116431209999998</v>
      </c>
      <c r="AK38" s="1">
        <v>469.11178912000003</v>
      </c>
      <c r="AL38" s="1">
        <v>0</v>
      </c>
      <c r="AM38" s="1">
        <v>872.46682321000003</v>
      </c>
      <c r="AN38" s="1">
        <v>5.6966853000000004</v>
      </c>
      <c r="AO38" s="1">
        <v>61.631533930000003</v>
      </c>
      <c r="AP38" s="1">
        <v>4.8960595900000001</v>
      </c>
      <c r="AQ38" s="1">
        <v>0.68906548000000001</v>
      </c>
      <c r="AR38" s="1">
        <v>5.4551117199999997</v>
      </c>
      <c r="AS38" s="1">
        <v>3.85629394</v>
      </c>
      <c r="AT38" s="4">
        <v>113.79012</v>
      </c>
      <c r="AU38" s="1">
        <v>0</v>
      </c>
      <c r="AV38" s="1">
        <v>1882.82391072</v>
      </c>
      <c r="AW38" s="1">
        <v>1769.0156817899999</v>
      </c>
      <c r="AX38" s="1">
        <v>1.8108929999999999E-2</v>
      </c>
      <c r="AY38" s="4">
        <v>6794.4093170899996</v>
      </c>
    </row>
    <row r="39" spans="1:51" x14ac:dyDescent="0.25">
      <c r="A39" s="14"/>
      <c r="B39" s="11"/>
      <c r="C39" s="1" t="s">
        <v>36</v>
      </c>
      <c r="D39" s="1">
        <v>0</v>
      </c>
      <c r="E39" s="1">
        <v>1.1557501400000001</v>
      </c>
      <c r="F39" s="1">
        <v>5.0897409999999997E-2</v>
      </c>
      <c r="G39" s="1">
        <v>14.397598479999999</v>
      </c>
      <c r="H39" s="1">
        <v>3.9737601300000001</v>
      </c>
      <c r="I39" s="1">
        <v>6.2939184099999999</v>
      </c>
      <c r="J39" s="1">
        <v>6.0247783899999998</v>
      </c>
      <c r="K39" s="1">
        <v>2.6823705599999998</v>
      </c>
      <c r="L39" s="1">
        <v>17.981024059999999</v>
      </c>
      <c r="M39" s="1">
        <v>84.015003710000002</v>
      </c>
      <c r="N39" s="1">
        <v>0.74193134000000005</v>
      </c>
      <c r="O39" s="1">
        <v>13.66320786</v>
      </c>
      <c r="P39" s="1">
        <v>1.5729337299999999</v>
      </c>
      <c r="Q39" s="1">
        <v>5.0748802800000004</v>
      </c>
      <c r="R39" s="1">
        <v>7.0003961600000002</v>
      </c>
      <c r="S39" s="1">
        <v>12.5402319</v>
      </c>
      <c r="T39" s="1">
        <v>3.0092106900000002</v>
      </c>
      <c r="U39" s="1">
        <v>7.1469271900000004</v>
      </c>
      <c r="V39" s="1">
        <v>4.3770032299999997</v>
      </c>
      <c r="W39" s="1">
        <v>4.1269306200000004</v>
      </c>
      <c r="X39" s="1">
        <v>45.243826929999997</v>
      </c>
      <c r="Y39" s="1">
        <v>1.64714037</v>
      </c>
      <c r="Z39" s="1">
        <v>2.8895722799999999</v>
      </c>
      <c r="AA39" s="1">
        <v>5.8324770900000003</v>
      </c>
      <c r="AB39" s="1">
        <v>34.084796429999997</v>
      </c>
      <c r="AC39" s="1">
        <v>37.32970564</v>
      </c>
      <c r="AD39" s="1">
        <v>6.6692242500000001</v>
      </c>
      <c r="AE39" s="1">
        <v>127.96591347</v>
      </c>
      <c r="AF39" s="1">
        <v>7.2699258599999999</v>
      </c>
      <c r="AG39" s="1">
        <v>0</v>
      </c>
      <c r="AH39" s="1">
        <v>15.851901120000001</v>
      </c>
      <c r="AI39" s="1">
        <v>69.139028789999998</v>
      </c>
      <c r="AJ39" s="1">
        <v>6.1849967100000001</v>
      </c>
      <c r="AK39" s="1">
        <v>50.297702469999997</v>
      </c>
      <c r="AL39" s="1">
        <v>0</v>
      </c>
      <c r="AM39" s="1">
        <v>5.9701234899999998</v>
      </c>
      <c r="AN39" s="1">
        <v>41.649614769999999</v>
      </c>
      <c r="AO39" s="1">
        <v>91.464962240000006</v>
      </c>
      <c r="AP39" s="1">
        <v>0.86905275000000004</v>
      </c>
      <c r="AQ39" s="1">
        <v>0.38813934999999999</v>
      </c>
      <c r="AR39" s="1">
        <v>0.57632812</v>
      </c>
      <c r="AS39" s="1">
        <v>1.0947642200000001</v>
      </c>
      <c r="AT39" s="4">
        <v>0</v>
      </c>
      <c r="AU39" s="1">
        <v>0</v>
      </c>
      <c r="AV39" s="1">
        <v>1017.28005125</v>
      </c>
      <c r="AW39" s="1">
        <v>1012.15612054</v>
      </c>
      <c r="AX39" s="1">
        <v>5.1239307099999998</v>
      </c>
      <c r="AY39" s="4">
        <v>1504.6677802500001</v>
      </c>
    </row>
    <row r="40" spans="1:51" x14ac:dyDescent="0.25">
      <c r="A40" s="14"/>
      <c r="B40" s="11"/>
      <c r="C40" s="1" t="s">
        <v>37</v>
      </c>
      <c r="D40" s="1">
        <v>0</v>
      </c>
      <c r="E40" s="1">
        <v>1.8572095099999999</v>
      </c>
      <c r="F40" s="1">
        <v>3.7341579999999999E-2</v>
      </c>
      <c r="G40" s="1">
        <v>93.549615660000001</v>
      </c>
      <c r="H40" s="1">
        <v>13.873844269999999</v>
      </c>
      <c r="I40" s="1">
        <v>21.318074809999999</v>
      </c>
      <c r="J40" s="1">
        <v>6.0365267899999999</v>
      </c>
      <c r="K40" s="1">
        <v>41.961418559999998</v>
      </c>
      <c r="L40" s="1">
        <v>28.298456259999998</v>
      </c>
      <c r="M40" s="1">
        <v>235.72188152999999</v>
      </c>
      <c r="N40" s="1">
        <v>0.30346392999999999</v>
      </c>
      <c r="O40" s="1">
        <v>77.765687869999994</v>
      </c>
      <c r="P40" s="1">
        <v>13.848486080000001</v>
      </c>
      <c r="Q40" s="1">
        <v>6.1283164799999996</v>
      </c>
      <c r="R40" s="1">
        <v>101.29757180999999</v>
      </c>
      <c r="S40" s="1">
        <v>90.653278520000001</v>
      </c>
      <c r="T40" s="1">
        <v>167.97313001000001</v>
      </c>
      <c r="U40" s="1">
        <v>9.8964395799999991</v>
      </c>
      <c r="V40" s="1">
        <v>43.063582320000002</v>
      </c>
      <c r="W40" s="1">
        <v>3.1977567200000001</v>
      </c>
      <c r="X40" s="1">
        <v>50.614751589999997</v>
      </c>
      <c r="Y40" s="1">
        <v>13.05039949</v>
      </c>
      <c r="Z40" s="1">
        <v>14.81871666</v>
      </c>
      <c r="AA40" s="1">
        <v>16.988669529999999</v>
      </c>
      <c r="AB40" s="1">
        <v>162.51460084000001</v>
      </c>
      <c r="AC40" s="1">
        <v>100.44179162</v>
      </c>
      <c r="AD40" s="1">
        <v>30.392620969999999</v>
      </c>
      <c r="AE40" s="1">
        <v>87.986134190000001</v>
      </c>
      <c r="AF40" s="1">
        <v>19.702863149999999</v>
      </c>
      <c r="AG40" s="1">
        <v>0</v>
      </c>
      <c r="AH40" s="1">
        <v>57.196378959999997</v>
      </c>
      <c r="AI40" s="1">
        <v>52.464878849999998</v>
      </c>
      <c r="AJ40" s="1">
        <v>185.65405263</v>
      </c>
      <c r="AK40" s="1">
        <v>163.16038567999999</v>
      </c>
      <c r="AL40" s="1">
        <v>0</v>
      </c>
      <c r="AM40" s="1">
        <v>4.4976467199999997</v>
      </c>
      <c r="AN40" s="1">
        <v>5.3343102699999996</v>
      </c>
      <c r="AO40" s="1">
        <v>194.26398395999999</v>
      </c>
      <c r="AP40" s="1">
        <v>6.0475411799999996</v>
      </c>
      <c r="AQ40" s="1">
        <v>1.5780524600000001</v>
      </c>
      <c r="AR40" s="1">
        <v>7.3567548800000004</v>
      </c>
      <c r="AS40" s="1">
        <v>1.43557314</v>
      </c>
      <c r="AT40" s="4">
        <v>0</v>
      </c>
      <c r="AU40" s="1">
        <v>0</v>
      </c>
      <c r="AV40" s="1">
        <v>2089.84965865</v>
      </c>
      <c r="AW40" s="1">
        <v>2087.5802763800002</v>
      </c>
      <c r="AX40" s="1">
        <v>2.2693822699999999</v>
      </c>
      <c r="AY40" s="4">
        <v>4925.1041626400001</v>
      </c>
    </row>
    <row r="41" spans="1:51" x14ac:dyDescent="0.25">
      <c r="A41" s="14"/>
      <c r="B41" s="11"/>
      <c r="C41" s="1" t="s">
        <v>38</v>
      </c>
      <c r="D41" s="1">
        <v>0</v>
      </c>
      <c r="E41" s="1">
        <v>12.23665372</v>
      </c>
      <c r="F41" s="1">
        <v>0.35636606999999998</v>
      </c>
      <c r="G41" s="1">
        <v>102.63462126</v>
      </c>
      <c r="H41" s="1">
        <v>10.342738049999999</v>
      </c>
      <c r="I41" s="1">
        <v>3.6827282700000001</v>
      </c>
      <c r="J41" s="1">
        <v>0.63434106000000001</v>
      </c>
      <c r="K41" s="1">
        <v>134.77376082999999</v>
      </c>
      <c r="L41" s="1">
        <v>11.89938944</v>
      </c>
      <c r="M41" s="1">
        <v>22.138527750000002</v>
      </c>
      <c r="N41" s="1">
        <v>0.69976090999999996</v>
      </c>
      <c r="O41" s="1">
        <v>15.142617700000001</v>
      </c>
      <c r="P41" s="1">
        <v>4.5990085699999996</v>
      </c>
      <c r="Q41" s="1">
        <v>0.18865012</v>
      </c>
      <c r="R41" s="1">
        <v>2.6608168999999999</v>
      </c>
      <c r="S41" s="1">
        <v>0.43677492000000001</v>
      </c>
      <c r="T41" s="1">
        <v>25.680752600000002</v>
      </c>
      <c r="U41" s="1">
        <v>53.293577569999997</v>
      </c>
      <c r="V41" s="1">
        <v>9.3602809999999995E-2</v>
      </c>
      <c r="W41" s="1">
        <v>6.9607607600000003</v>
      </c>
      <c r="X41" s="1">
        <v>63.58306597</v>
      </c>
      <c r="Y41" s="1">
        <v>1.9138329999999999E-2</v>
      </c>
      <c r="Z41" s="1">
        <v>17.276191879999999</v>
      </c>
      <c r="AA41" s="1">
        <v>14.215460309999999</v>
      </c>
      <c r="AB41" s="1">
        <v>79.61321615</v>
      </c>
      <c r="AC41" s="1">
        <v>110.04507078</v>
      </c>
      <c r="AD41" s="1">
        <v>143.80066321000001</v>
      </c>
      <c r="AE41" s="1">
        <v>77.260162260000001</v>
      </c>
      <c r="AF41" s="1">
        <v>0.14873750999999999</v>
      </c>
      <c r="AG41" s="1">
        <v>0</v>
      </c>
      <c r="AH41" s="1">
        <v>106.47999182</v>
      </c>
      <c r="AI41" s="1">
        <v>139.48188296000001</v>
      </c>
      <c r="AJ41" s="1">
        <v>111.79857524000001</v>
      </c>
      <c r="AK41" s="1">
        <v>170.89697240999999</v>
      </c>
      <c r="AL41" s="1">
        <v>0</v>
      </c>
      <c r="AM41" s="1">
        <v>12.80692713</v>
      </c>
      <c r="AN41" s="1">
        <v>6.5495622400000002</v>
      </c>
      <c r="AO41" s="1">
        <v>84.178735029999999</v>
      </c>
      <c r="AP41" s="1">
        <v>109.38987091</v>
      </c>
      <c r="AQ41" s="1">
        <v>0.27561480999999999</v>
      </c>
      <c r="AR41" s="1">
        <v>24.86261992</v>
      </c>
      <c r="AS41" s="1">
        <v>3.4136255200000001</v>
      </c>
      <c r="AT41" s="4">
        <v>0</v>
      </c>
      <c r="AU41" s="1">
        <v>0</v>
      </c>
      <c r="AV41" s="1">
        <v>6079.2003176199996</v>
      </c>
      <c r="AW41" s="1">
        <v>6073.9586715200003</v>
      </c>
      <c r="AX41" s="1">
        <v>5.2416460999999996</v>
      </c>
      <c r="AY41" s="4">
        <v>6347.57435592</v>
      </c>
    </row>
    <row r="42" spans="1:51" x14ac:dyDescent="0.25">
      <c r="A42" s="14"/>
      <c r="B42" s="11"/>
      <c r="C42" s="1" t="s">
        <v>39</v>
      </c>
      <c r="D42" s="1">
        <v>0</v>
      </c>
      <c r="E42" s="1">
        <v>1.4993663500000001</v>
      </c>
      <c r="F42" s="1">
        <v>6.3823899999999999E-3</v>
      </c>
      <c r="G42" s="1">
        <v>84.801221659999996</v>
      </c>
      <c r="H42" s="1">
        <v>61.79934823</v>
      </c>
      <c r="I42" s="1">
        <v>16.918544099999998</v>
      </c>
      <c r="J42" s="1">
        <v>3.90012516</v>
      </c>
      <c r="K42" s="1">
        <v>25.681084349999999</v>
      </c>
      <c r="L42" s="1">
        <v>3.4206563000000001</v>
      </c>
      <c r="M42" s="1">
        <v>1290.6916747499999</v>
      </c>
      <c r="N42" s="1">
        <v>1.8500599999999999E-3</v>
      </c>
      <c r="O42" s="1">
        <v>14.147127749999999</v>
      </c>
      <c r="P42" s="1">
        <v>0.17407095</v>
      </c>
      <c r="Q42" s="1">
        <v>191.00171216000001</v>
      </c>
      <c r="R42" s="1">
        <v>5.89784416</v>
      </c>
      <c r="S42" s="1">
        <v>3.93290958</v>
      </c>
      <c r="T42" s="1">
        <v>14.19755292</v>
      </c>
      <c r="U42" s="1">
        <v>8.7900131199999993</v>
      </c>
      <c r="V42" s="1">
        <v>1.3291765099999999</v>
      </c>
      <c r="W42" s="1">
        <v>2.17561581</v>
      </c>
      <c r="X42" s="1">
        <v>47.561143389999998</v>
      </c>
      <c r="Y42" s="1">
        <v>0.75906558999999996</v>
      </c>
      <c r="Z42" s="1">
        <v>8.1792300000000004</v>
      </c>
      <c r="AA42" s="1">
        <v>8.0026057799999997</v>
      </c>
      <c r="AB42" s="1">
        <v>431.51471365999998</v>
      </c>
      <c r="AC42" s="1">
        <v>158.83368639</v>
      </c>
      <c r="AD42" s="1">
        <v>24.312368920000001</v>
      </c>
      <c r="AE42" s="1">
        <v>25.06027843</v>
      </c>
      <c r="AF42" s="1">
        <v>0.42205730000000002</v>
      </c>
      <c r="AG42" s="1">
        <v>0</v>
      </c>
      <c r="AH42" s="1">
        <v>109.91560439</v>
      </c>
      <c r="AI42" s="1">
        <v>54.42854561</v>
      </c>
      <c r="AJ42" s="1">
        <v>29.66096392</v>
      </c>
      <c r="AK42" s="1">
        <v>68.833322109999997</v>
      </c>
      <c r="AL42" s="1">
        <v>0</v>
      </c>
      <c r="AM42" s="1">
        <v>5.1445895200000002</v>
      </c>
      <c r="AN42" s="1">
        <v>5.3014947699999997</v>
      </c>
      <c r="AO42" s="1">
        <v>102.92174278</v>
      </c>
      <c r="AP42" s="1">
        <v>21.53537158</v>
      </c>
      <c r="AQ42" s="1">
        <v>49.561405720000003</v>
      </c>
      <c r="AR42" s="1">
        <v>4.1314701899999999</v>
      </c>
      <c r="AS42" s="1">
        <v>1.2477314900000001</v>
      </c>
      <c r="AT42" s="4">
        <v>0</v>
      </c>
      <c r="AU42" s="1">
        <v>0</v>
      </c>
      <c r="AV42" s="1">
        <v>6139.7280572299996</v>
      </c>
      <c r="AW42" s="1">
        <v>6137.4553549700004</v>
      </c>
      <c r="AX42" s="1">
        <v>2.2727022699999999</v>
      </c>
      <c r="AY42" s="4">
        <v>6297.3195666399997</v>
      </c>
    </row>
    <row r="43" spans="1:51" x14ac:dyDescent="0.25">
      <c r="A43" s="14"/>
      <c r="B43" s="11"/>
      <c r="C43" s="1" t="s">
        <v>40</v>
      </c>
      <c r="D43" s="1">
        <v>0</v>
      </c>
      <c r="E43" s="1">
        <v>0.66825137999999995</v>
      </c>
      <c r="F43" s="1">
        <v>2.2375949999999999E-2</v>
      </c>
      <c r="G43" s="1">
        <v>175.70920190999999</v>
      </c>
      <c r="H43" s="1">
        <v>1.8677632799999999</v>
      </c>
      <c r="I43" s="1">
        <v>75.998087130000002</v>
      </c>
      <c r="J43" s="1">
        <v>2.1478453700000002</v>
      </c>
      <c r="K43" s="1">
        <v>92.370989530000003</v>
      </c>
      <c r="L43" s="1">
        <v>7.2200374199999997</v>
      </c>
      <c r="M43" s="1">
        <v>19.907662989999999</v>
      </c>
      <c r="N43" s="1">
        <v>3.5589309999999999E-2</v>
      </c>
      <c r="O43" s="1">
        <v>4.8748318700000004</v>
      </c>
      <c r="P43" s="1">
        <v>1.8452127700000001</v>
      </c>
      <c r="Q43" s="1">
        <v>0.10759987</v>
      </c>
      <c r="R43" s="1">
        <v>1.0998361800000001</v>
      </c>
      <c r="S43" s="1">
        <v>1.1692020599999999</v>
      </c>
      <c r="T43" s="1">
        <v>9.0505668099999994</v>
      </c>
      <c r="U43" s="1">
        <v>1.8624656900000001</v>
      </c>
      <c r="V43" s="1">
        <v>2.7645478899999998</v>
      </c>
      <c r="W43" s="1">
        <v>3.5183153699999998</v>
      </c>
      <c r="X43" s="1">
        <v>24.234867900000001</v>
      </c>
      <c r="Y43" s="1">
        <v>1.09677661</v>
      </c>
      <c r="Z43" s="1">
        <v>3.1560486700000001</v>
      </c>
      <c r="AA43" s="1">
        <v>13.26098515</v>
      </c>
      <c r="AB43" s="1">
        <v>111.42677767000001</v>
      </c>
      <c r="AC43" s="1">
        <v>60.304535620000003</v>
      </c>
      <c r="AD43" s="1">
        <v>71.752203269999995</v>
      </c>
      <c r="AE43" s="1">
        <v>45.690254729999999</v>
      </c>
      <c r="AF43" s="1">
        <v>1.2776462399999999</v>
      </c>
      <c r="AG43" s="1">
        <v>0</v>
      </c>
      <c r="AH43" s="1">
        <v>86.455991650000001</v>
      </c>
      <c r="AI43" s="1">
        <v>42.694381069999999</v>
      </c>
      <c r="AJ43" s="1">
        <v>45.265781459999999</v>
      </c>
      <c r="AK43" s="1">
        <v>125.35552816000001</v>
      </c>
      <c r="AL43" s="1">
        <v>0</v>
      </c>
      <c r="AM43" s="1">
        <v>1.5562691399999999</v>
      </c>
      <c r="AN43" s="1">
        <v>3.88054415</v>
      </c>
      <c r="AO43" s="1">
        <v>41.325751990000001</v>
      </c>
      <c r="AP43" s="1">
        <v>3.6167236200000001</v>
      </c>
      <c r="AQ43" s="1">
        <v>0.72009493000000002</v>
      </c>
      <c r="AR43" s="1">
        <v>131.25203550000001</v>
      </c>
      <c r="AS43" s="1">
        <v>1.4099825800000001</v>
      </c>
      <c r="AT43" s="4">
        <v>58.610903329999999</v>
      </c>
      <c r="AU43" s="1">
        <v>0</v>
      </c>
      <c r="AV43" s="1">
        <v>1879.28982533</v>
      </c>
      <c r="AW43" s="1">
        <v>1788.6602476099999</v>
      </c>
      <c r="AX43" s="1">
        <v>32.018674390000001</v>
      </c>
      <c r="AY43" s="4">
        <v>2304.39767115</v>
      </c>
    </row>
    <row r="44" spans="1:51" x14ac:dyDescent="0.25">
      <c r="A44" s="14"/>
      <c r="B44" s="12"/>
      <c r="C44" s="3" t="s">
        <v>41</v>
      </c>
      <c r="D44" s="3">
        <v>0</v>
      </c>
      <c r="E44" s="3">
        <v>2.2585508299999999</v>
      </c>
      <c r="F44" s="3">
        <v>1.4171889999999999E-2</v>
      </c>
      <c r="G44" s="3">
        <v>34.85113252</v>
      </c>
      <c r="H44" s="3">
        <v>8.2908664400000003</v>
      </c>
      <c r="I44" s="3">
        <v>146.22940754999999</v>
      </c>
      <c r="J44" s="3">
        <v>73.048929900000005</v>
      </c>
      <c r="K44" s="3">
        <v>144.63627596000001</v>
      </c>
      <c r="L44" s="3">
        <v>61.559409870000003</v>
      </c>
      <c r="M44" s="3">
        <v>21.950378520000001</v>
      </c>
      <c r="N44" s="3">
        <v>2.0693500000000002E-3</v>
      </c>
      <c r="O44" s="3">
        <v>11.15671611</v>
      </c>
      <c r="P44" s="3">
        <v>20.908372029999999</v>
      </c>
      <c r="Q44" s="3">
        <v>0.39765887</v>
      </c>
      <c r="R44" s="3">
        <v>11.2923589</v>
      </c>
      <c r="S44" s="3">
        <v>28.229268009999998</v>
      </c>
      <c r="T44" s="3">
        <v>27.909892280000001</v>
      </c>
      <c r="U44" s="3">
        <v>7.0948443599999997</v>
      </c>
      <c r="V44" s="3">
        <v>11.43915088</v>
      </c>
      <c r="W44" s="3">
        <v>4.1468869699999997</v>
      </c>
      <c r="X44" s="3">
        <v>62.463860820000001</v>
      </c>
      <c r="Y44" s="3">
        <v>3.6467206600000002</v>
      </c>
      <c r="Z44" s="3">
        <v>15.034019969999999</v>
      </c>
      <c r="AA44" s="3">
        <v>67.109420990000004</v>
      </c>
      <c r="AB44" s="3">
        <v>163.32094049</v>
      </c>
      <c r="AC44" s="3">
        <v>222.68605540999999</v>
      </c>
      <c r="AD44" s="3">
        <v>463.65962988000001</v>
      </c>
      <c r="AE44" s="3">
        <v>31.501431329999999</v>
      </c>
      <c r="AF44" s="3">
        <v>9.4529920900000004</v>
      </c>
      <c r="AG44" s="3">
        <v>0</v>
      </c>
      <c r="AH44" s="3">
        <v>595.55447946000004</v>
      </c>
      <c r="AI44" s="3">
        <v>55.865055910000002</v>
      </c>
      <c r="AJ44" s="3">
        <v>132.45327212000001</v>
      </c>
      <c r="AK44" s="3">
        <v>535.28809064999996</v>
      </c>
      <c r="AL44" s="3">
        <v>0</v>
      </c>
      <c r="AM44" s="3">
        <v>0.18481449999999999</v>
      </c>
      <c r="AN44" s="3">
        <v>54.58107321</v>
      </c>
      <c r="AO44" s="3">
        <v>302.52817719000001</v>
      </c>
      <c r="AP44" s="3">
        <v>8.0723546699999993</v>
      </c>
      <c r="AQ44" s="3">
        <v>26.444938799999999</v>
      </c>
      <c r="AR44" s="3">
        <v>64.001301290000001</v>
      </c>
      <c r="AS44" s="3">
        <v>72.097697080000003</v>
      </c>
      <c r="AT44" s="5">
        <v>0</v>
      </c>
      <c r="AU44" s="3">
        <v>0</v>
      </c>
      <c r="AV44" s="3">
        <v>9854.1393829499993</v>
      </c>
      <c r="AW44" s="3">
        <v>9843.5508458299992</v>
      </c>
      <c r="AX44" s="3">
        <v>10.58853712</v>
      </c>
      <c r="AY44" s="5">
        <v>10007.92803779</v>
      </c>
    </row>
    <row r="45" spans="1:51" x14ac:dyDescent="0.25">
      <c r="A45" s="14"/>
      <c r="B45" s="11" t="s">
        <v>44</v>
      </c>
      <c r="C45" t="s">
        <v>0</v>
      </c>
      <c r="D45">
        <v>123.69985826999999</v>
      </c>
      <c r="E45">
        <v>6.4975299999999996E-3</v>
      </c>
      <c r="F45">
        <v>1.0606910000000001E-2</v>
      </c>
      <c r="G45">
        <v>4.3660999999999998E-4</v>
      </c>
      <c r="H45">
        <v>6.9604200000000001E-3</v>
      </c>
      <c r="I45">
        <v>5.0769999999999997E-5</v>
      </c>
      <c r="J45">
        <v>6.3908999999999997E-3</v>
      </c>
      <c r="K45">
        <v>3.2535799999999998E-3</v>
      </c>
      <c r="L45">
        <v>0.22431376</v>
      </c>
      <c r="M45">
        <v>0.98438840999999999</v>
      </c>
      <c r="N45">
        <v>1.1882034699999999</v>
      </c>
      <c r="O45">
        <v>6.8877709999999995E-2</v>
      </c>
      <c r="P45">
        <v>7.3537489999999997E-2</v>
      </c>
      <c r="Q45">
        <v>2.1927269999999999E-2</v>
      </c>
      <c r="R45">
        <v>4.9090599999999998E-3</v>
      </c>
      <c r="S45">
        <v>0.2157076</v>
      </c>
      <c r="T45">
        <v>4.5990490000000002E-2</v>
      </c>
      <c r="U45">
        <v>1.7005329999999999E-2</v>
      </c>
      <c r="V45">
        <v>3.5048669999999997E-2</v>
      </c>
      <c r="W45">
        <v>1.1940330000000001E-2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0.13330338999999999</v>
      </c>
      <c r="AD45">
        <v>0.11638204000000001</v>
      </c>
      <c r="AE45">
        <v>7.2572000000000001E-4</v>
      </c>
      <c r="AF45">
        <v>4.6814500000000002E-3</v>
      </c>
      <c r="AG45">
        <v>1E-8</v>
      </c>
      <c r="AH45">
        <v>8.6967000000000001E-4</v>
      </c>
      <c r="AI45">
        <v>5.0304139999999997E-2</v>
      </c>
      <c r="AJ45">
        <v>0</v>
      </c>
      <c r="AK45">
        <v>0.23897983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6.1790600000000001E-2</v>
      </c>
      <c r="AS45">
        <v>5.1006999999999995E-4</v>
      </c>
      <c r="AT45" s="4">
        <v>0</v>
      </c>
      <c r="AU45">
        <v>121.62246951</v>
      </c>
      <c r="AV45">
        <v>145.97209724000001</v>
      </c>
      <c r="AW45">
        <v>0</v>
      </c>
      <c r="AX45">
        <v>24.349627730000002</v>
      </c>
      <c r="AY45" s="4">
        <v>0</v>
      </c>
    </row>
    <row r="46" spans="1:51" x14ac:dyDescent="0.25">
      <c r="A46" s="14"/>
      <c r="B46" s="11"/>
      <c r="C46" t="s">
        <v>1</v>
      </c>
      <c r="D46">
        <v>2.7047283499999999</v>
      </c>
      <c r="E46">
        <v>50.424548039999998</v>
      </c>
      <c r="F46">
        <v>55.396763900000003</v>
      </c>
      <c r="G46">
        <v>1.9577800000000001E-3</v>
      </c>
      <c r="H46">
        <v>0.23514589999999999</v>
      </c>
      <c r="I46">
        <v>5.2276099999999997E-3</v>
      </c>
      <c r="J46">
        <v>5.0176989999999998E-2</v>
      </c>
      <c r="K46">
        <v>0.22050235000000001</v>
      </c>
      <c r="L46">
        <v>11.39424039</v>
      </c>
      <c r="M46">
        <v>11.58377385</v>
      </c>
      <c r="N46">
        <v>1.6664976199999999</v>
      </c>
      <c r="O46">
        <v>0.34201436000000002</v>
      </c>
      <c r="P46">
        <v>0.57516007000000002</v>
      </c>
      <c r="Q46">
        <v>0.43242117000000002</v>
      </c>
      <c r="R46">
        <v>3.8409400000000003E-2</v>
      </c>
      <c r="S46">
        <v>0.24673920999999999</v>
      </c>
      <c r="T46">
        <v>0.99775853000000003</v>
      </c>
      <c r="U46">
        <v>0.38477858999999998</v>
      </c>
      <c r="V46">
        <v>0.48724255999999999</v>
      </c>
      <c r="W46">
        <v>1.6786354699999999</v>
      </c>
      <c r="X46">
        <v>0</v>
      </c>
      <c r="Y46">
        <v>0</v>
      </c>
      <c r="Z46">
        <v>0</v>
      </c>
      <c r="AA46">
        <v>0</v>
      </c>
      <c r="AB46">
        <v>0</v>
      </c>
      <c r="AC46">
        <v>3.0035290300000002</v>
      </c>
      <c r="AD46">
        <v>1.2948783399999999</v>
      </c>
      <c r="AE46">
        <v>5.0973800000000003E-3</v>
      </c>
      <c r="AF46">
        <v>20.98386854</v>
      </c>
      <c r="AG46">
        <v>2.7000000000000001E-7</v>
      </c>
      <c r="AH46">
        <v>2.51359E-3</v>
      </c>
      <c r="AI46">
        <v>0.98147744999999997</v>
      </c>
      <c r="AJ46">
        <v>0</v>
      </c>
      <c r="AK46">
        <v>7.3622613799999996</v>
      </c>
      <c r="AL46">
        <v>0</v>
      </c>
      <c r="AM46">
        <v>1.17E-6</v>
      </c>
      <c r="AN46">
        <v>0</v>
      </c>
      <c r="AO46">
        <v>0</v>
      </c>
      <c r="AP46">
        <v>0</v>
      </c>
      <c r="AQ46">
        <v>0</v>
      </c>
      <c r="AR46">
        <v>1.2375168599999999</v>
      </c>
      <c r="AS46">
        <v>0.10419489</v>
      </c>
      <c r="AT46" s="4">
        <v>0</v>
      </c>
      <c r="AU46">
        <v>0.77130752000000002</v>
      </c>
      <c r="AV46">
        <v>10.565035590000001</v>
      </c>
      <c r="AW46">
        <v>4.5788878799999999</v>
      </c>
      <c r="AX46">
        <v>5.2148402000000003</v>
      </c>
      <c r="AY46" s="4">
        <v>0</v>
      </c>
    </row>
    <row r="47" spans="1:51" x14ac:dyDescent="0.25">
      <c r="A47" s="14"/>
      <c r="B47" s="11"/>
      <c r="C47" t="s">
        <v>2</v>
      </c>
      <c r="D47">
        <v>0</v>
      </c>
      <c r="E47">
        <v>9.4849299999999998E-2</v>
      </c>
      <c r="F47">
        <v>2.3735390600000001</v>
      </c>
      <c r="G47">
        <v>3.2353999999999998E-4</v>
      </c>
      <c r="H47">
        <v>3.9470770000000002E-2</v>
      </c>
      <c r="I47">
        <v>5.7289999999999999E-4</v>
      </c>
      <c r="J47">
        <v>1.9687699999999999E-3</v>
      </c>
      <c r="K47">
        <v>3.9457800000000003E-3</v>
      </c>
      <c r="L47">
        <v>0.78466875999999997</v>
      </c>
      <c r="M47">
        <v>0.58627015000000005</v>
      </c>
      <c r="N47">
        <v>5.9200389999999999E-2</v>
      </c>
      <c r="O47">
        <v>7.9329179999999999E-2</v>
      </c>
      <c r="P47">
        <v>4.8484899999999997E-2</v>
      </c>
      <c r="Q47">
        <v>0.55438544000000001</v>
      </c>
      <c r="R47">
        <v>8.0761800000000005E-3</v>
      </c>
      <c r="S47">
        <v>5.0474850000000002E-2</v>
      </c>
      <c r="T47">
        <v>9.1865710000000003E-2</v>
      </c>
      <c r="U47">
        <v>0.35302403999999998</v>
      </c>
      <c r="V47">
        <v>2.2420949999999999E-2</v>
      </c>
      <c r="W47">
        <v>1.0761969999999999E-2</v>
      </c>
      <c r="X47">
        <v>3.5731739999999998E-2</v>
      </c>
      <c r="Y47">
        <v>0</v>
      </c>
      <c r="Z47">
        <v>0</v>
      </c>
      <c r="AA47">
        <v>0</v>
      </c>
      <c r="AB47">
        <v>0</v>
      </c>
      <c r="AC47">
        <v>0.38951634000000002</v>
      </c>
      <c r="AD47">
        <v>0.28639741000000002</v>
      </c>
      <c r="AE47">
        <v>5.0568E-4</v>
      </c>
      <c r="AF47">
        <v>1.013881E-2</v>
      </c>
      <c r="AG47">
        <v>1.4000000000000001E-7</v>
      </c>
      <c r="AH47">
        <v>1.9749199999999998E-3</v>
      </c>
      <c r="AI47">
        <v>3.4220970000000003E-2</v>
      </c>
      <c r="AJ47">
        <v>0</v>
      </c>
      <c r="AK47">
        <v>0.19699912</v>
      </c>
      <c r="AL47">
        <v>0</v>
      </c>
      <c r="AM47">
        <v>4.0000000000000001E-8</v>
      </c>
      <c r="AN47">
        <v>0</v>
      </c>
      <c r="AO47">
        <v>0</v>
      </c>
      <c r="AP47">
        <v>0</v>
      </c>
      <c r="AQ47">
        <v>0</v>
      </c>
      <c r="AR47">
        <v>3.7655590000000003E-2</v>
      </c>
      <c r="AS47">
        <v>4.5755999999999998E-4</v>
      </c>
      <c r="AT47" s="4">
        <v>0</v>
      </c>
      <c r="AU47">
        <v>8.5643175100000004</v>
      </c>
      <c r="AV47">
        <v>9.0091320600000007</v>
      </c>
      <c r="AW47">
        <v>0</v>
      </c>
      <c r="AX47">
        <v>0.44481453999999998</v>
      </c>
      <c r="AY47" s="4">
        <v>0</v>
      </c>
    </row>
    <row r="48" spans="1:51" x14ac:dyDescent="0.25">
      <c r="A48" s="14"/>
      <c r="B48" s="11"/>
      <c r="C48" t="s">
        <v>3</v>
      </c>
      <c r="D48">
        <v>0</v>
      </c>
      <c r="E48">
        <v>0.27311754999999999</v>
      </c>
      <c r="F48">
        <v>2.075958E-2</v>
      </c>
      <c r="G48">
        <v>312.90246300000001</v>
      </c>
      <c r="H48">
        <v>0.61347054000000001</v>
      </c>
      <c r="I48">
        <v>3.7944200000000002E-3</v>
      </c>
      <c r="J48">
        <v>0.11917343</v>
      </c>
      <c r="K48">
        <v>1.76436796</v>
      </c>
      <c r="L48">
        <v>3.6448149999999999E-2</v>
      </c>
      <c r="M48">
        <v>13.644819569999999</v>
      </c>
      <c r="N48">
        <v>1.5882110000000001E-2</v>
      </c>
      <c r="O48">
        <v>0.13824581</v>
      </c>
      <c r="P48">
        <v>0.20284505999999999</v>
      </c>
      <c r="Q48">
        <v>1.81189E-2</v>
      </c>
      <c r="R48">
        <v>3.5118100000000002E-3</v>
      </c>
      <c r="S48">
        <v>8.5137400000000005E-3</v>
      </c>
      <c r="T48">
        <v>0.54671362999999995</v>
      </c>
      <c r="U48">
        <v>3.7155210000000001E-2</v>
      </c>
      <c r="V48">
        <v>0.17784409000000001</v>
      </c>
      <c r="W48">
        <v>0.44398798</v>
      </c>
      <c r="X48">
        <v>0</v>
      </c>
      <c r="Y48">
        <v>0</v>
      </c>
      <c r="Z48">
        <v>0</v>
      </c>
      <c r="AA48">
        <v>0</v>
      </c>
      <c r="AB48">
        <v>0</v>
      </c>
      <c r="AC48">
        <v>3.9613683499999999</v>
      </c>
      <c r="AD48">
        <v>1.8848776599999999</v>
      </c>
      <c r="AE48">
        <v>485.01171364999999</v>
      </c>
      <c r="AF48">
        <v>1.798549E-2</v>
      </c>
      <c r="AG48">
        <v>0</v>
      </c>
      <c r="AH48">
        <v>1.41442E-3</v>
      </c>
      <c r="AI48">
        <v>0.66758410999999995</v>
      </c>
      <c r="AJ48">
        <v>0</v>
      </c>
      <c r="AK48">
        <v>11.216221969999999</v>
      </c>
      <c r="AL48">
        <v>0</v>
      </c>
      <c r="AM48">
        <v>1.3E-7</v>
      </c>
      <c r="AN48">
        <v>0</v>
      </c>
      <c r="AO48">
        <v>0</v>
      </c>
      <c r="AP48">
        <v>0</v>
      </c>
      <c r="AQ48">
        <v>0</v>
      </c>
      <c r="AR48">
        <v>0.52813228000000001</v>
      </c>
      <c r="AS48">
        <v>5.822923E-2</v>
      </c>
      <c r="AT48" s="4">
        <v>0</v>
      </c>
      <c r="AU48">
        <v>13.65072352</v>
      </c>
      <c r="AV48">
        <v>604.93334735999997</v>
      </c>
      <c r="AW48">
        <v>590.61357111999996</v>
      </c>
      <c r="AX48">
        <v>0.66905272000000005</v>
      </c>
      <c r="AY48" s="4">
        <v>0</v>
      </c>
    </row>
    <row r="49" spans="1:51" x14ac:dyDescent="0.25">
      <c r="A49" s="14"/>
      <c r="B49" s="11"/>
      <c r="C49" t="s">
        <v>4</v>
      </c>
      <c r="D49">
        <v>0</v>
      </c>
      <c r="E49">
        <v>2.9918110000000001E-2</v>
      </c>
      <c r="F49">
        <v>1.348501E-2</v>
      </c>
      <c r="G49">
        <v>1.0768900000000001E-3</v>
      </c>
      <c r="H49">
        <v>45.408397299999997</v>
      </c>
      <c r="I49">
        <v>1.009264E-2</v>
      </c>
      <c r="J49">
        <v>8.0939299999999992E-3</v>
      </c>
      <c r="K49">
        <v>0.25170703</v>
      </c>
      <c r="L49">
        <v>0.16463053999999999</v>
      </c>
      <c r="M49">
        <v>17.9583303</v>
      </c>
      <c r="N49">
        <v>1.6948609999999999E-2</v>
      </c>
      <c r="O49">
        <v>0.14831918999999999</v>
      </c>
      <c r="P49">
        <v>9.3061550000000007E-2</v>
      </c>
      <c r="Q49">
        <v>8.9867089999999997E-2</v>
      </c>
      <c r="R49">
        <v>1.6947500000000001E-3</v>
      </c>
      <c r="S49">
        <v>5.7650510000000002E-2</v>
      </c>
      <c r="T49">
        <v>0.14666394999999999</v>
      </c>
      <c r="U49">
        <v>0.25690741</v>
      </c>
      <c r="V49">
        <v>0.46831462000000001</v>
      </c>
      <c r="W49">
        <v>0.13710949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0.94623281999999997</v>
      </c>
      <c r="AD49">
        <v>0.36394733000000001</v>
      </c>
      <c r="AE49">
        <v>30.632181330000002</v>
      </c>
      <c r="AF49">
        <v>1.1525519999999999E-2</v>
      </c>
      <c r="AG49">
        <v>0</v>
      </c>
      <c r="AH49">
        <v>8.1826000000000002E-4</v>
      </c>
      <c r="AI49">
        <v>0.28563105</v>
      </c>
      <c r="AJ49">
        <v>0</v>
      </c>
      <c r="AK49">
        <v>1.7893957199999999</v>
      </c>
      <c r="AL49">
        <v>0</v>
      </c>
      <c r="AM49">
        <v>1.4999999999999999E-7</v>
      </c>
      <c r="AN49">
        <v>0</v>
      </c>
      <c r="AO49">
        <v>0</v>
      </c>
      <c r="AP49">
        <v>0</v>
      </c>
      <c r="AQ49">
        <v>0</v>
      </c>
      <c r="AR49">
        <v>0.26202218999999999</v>
      </c>
      <c r="AS49">
        <v>2.5837479999999999E-2</v>
      </c>
      <c r="AT49" s="4">
        <v>0</v>
      </c>
      <c r="AU49">
        <v>0.85490376999999995</v>
      </c>
      <c r="AV49">
        <v>11.23110685</v>
      </c>
      <c r="AW49">
        <v>10.376203070000001</v>
      </c>
      <c r="AX49">
        <v>0</v>
      </c>
      <c r="AY49" s="4">
        <v>0</v>
      </c>
    </row>
    <row r="50" spans="1:51" x14ac:dyDescent="0.25">
      <c r="A50" s="14"/>
      <c r="B50" s="11"/>
      <c r="C50" t="s">
        <v>5</v>
      </c>
      <c r="D50">
        <v>0</v>
      </c>
      <c r="E50">
        <v>6.3751119999999994E-2</v>
      </c>
      <c r="F50">
        <v>2.0143390000000001E-2</v>
      </c>
      <c r="G50">
        <v>7.6298687999999997</v>
      </c>
      <c r="H50">
        <v>18.571363689999998</v>
      </c>
      <c r="I50">
        <v>15.621898290000001</v>
      </c>
      <c r="J50">
        <v>1.172963E-2</v>
      </c>
      <c r="K50">
        <v>0.44720684999999999</v>
      </c>
      <c r="L50">
        <v>2.1900010000000001E-2</v>
      </c>
      <c r="M50">
        <v>12.5556771</v>
      </c>
      <c r="N50">
        <v>5.4460100000000003E-3</v>
      </c>
      <c r="O50">
        <v>0.70468461000000004</v>
      </c>
      <c r="P50">
        <v>4.3246519999999997E-2</v>
      </c>
      <c r="Q50">
        <v>0.13416559</v>
      </c>
      <c r="R50">
        <v>1.7367000000000001E-3</v>
      </c>
      <c r="S50">
        <v>1.086048E-2</v>
      </c>
      <c r="T50">
        <v>1.0367123199999999</v>
      </c>
      <c r="U50">
        <v>1.061777E-2</v>
      </c>
      <c r="V50">
        <v>1.38565706</v>
      </c>
      <c r="W50">
        <v>4.918997E-2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0.99381174000000005</v>
      </c>
      <c r="AD50">
        <v>0.51904227000000003</v>
      </c>
      <c r="AE50">
        <v>0.59861850999999999</v>
      </c>
      <c r="AF50">
        <v>3.4887799999999999E-3</v>
      </c>
      <c r="AG50">
        <v>0</v>
      </c>
      <c r="AH50">
        <v>3.0089E-4</v>
      </c>
      <c r="AI50">
        <v>0.21749737999999999</v>
      </c>
      <c r="AJ50">
        <v>0</v>
      </c>
      <c r="AK50">
        <v>3.3390632999999998</v>
      </c>
      <c r="AL50">
        <v>0</v>
      </c>
      <c r="AM50">
        <v>4.8999999999999997E-6</v>
      </c>
      <c r="AN50">
        <v>0</v>
      </c>
      <c r="AO50">
        <v>0</v>
      </c>
      <c r="AP50">
        <v>0</v>
      </c>
      <c r="AQ50">
        <v>0</v>
      </c>
      <c r="AR50">
        <v>0.40966078</v>
      </c>
      <c r="AS50">
        <v>1.9418410000000001E-2</v>
      </c>
      <c r="AT50" s="4">
        <v>0</v>
      </c>
      <c r="AU50">
        <v>0.10109665</v>
      </c>
      <c r="AV50">
        <v>226.19455866000001</v>
      </c>
      <c r="AW50">
        <v>226.09346201</v>
      </c>
      <c r="AX50">
        <v>0</v>
      </c>
      <c r="AY50" s="4">
        <v>0</v>
      </c>
    </row>
    <row r="51" spans="1:51" x14ac:dyDescent="0.25">
      <c r="A51" s="14"/>
      <c r="B51" s="11"/>
      <c r="C51" t="s">
        <v>6</v>
      </c>
      <c r="D51">
        <v>0</v>
      </c>
      <c r="E51">
        <v>0.60532624000000002</v>
      </c>
      <c r="F51">
        <v>7.4403000000000004E-3</v>
      </c>
      <c r="G51">
        <v>1.5531200000000001E-3</v>
      </c>
      <c r="H51">
        <v>1.5113109199999999</v>
      </c>
      <c r="I51">
        <v>0.67599482</v>
      </c>
      <c r="J51">
        <v>59.87413566</v>
      </c>
      <c r="K51">
        <v>9.9219139999999997E-2</v>
      </c>
      <c r="L51">
        <v>3.4839790000000002E-2</v>
      </c>
      <c r="M51">
        <v>9.0859993899999996</v>
      </c>
      <c r="N51">
        <v>0.26908391999999998</v>
      </c>
      <c r="O51">
        <v>3.0615846100000002</v>
      </c>
      <c r="P51">
        <v>7.9455719999999994E-2</v>
      </c>
      <c r="Q51">
        <v>6.9277920000000007E-2</v>
      </c>
      <c r="R51">
        <v>2.6397E-3</v>
      </c>
      <c r="S51">
        <v>4.9196219999999999E-2</v>
      </c>
      <c r="T51">
        <v>0.56545182999999999</v>
      </c>
      <c r="U51">
        <v>6.9991159999999997E-2</v>
      </c>
      <c r="V51">
        <v>0.14529842000000001</v>
      </c>
      <c r="W51">
        <v>0.11421355</v>
      </c>
      <c r="X51">
        <v>0</v>
      </c>
      <c r="Y51">
        <v>0</v>
      </c>
      <c r="Z51">
        <v>0</v>
      </c>
      <c r="AA51">
        <v>0</v>
      </c>
      <c r="AB51">
        <v>0</v>
      </c>
      <c r="AC51">
        <v>1.2407449800000001</v>
      </c>
      <c r="AD51">
        <v>0.62730790999999997</v>
      </c>
      <c r="AE51">
        <v>44.856380710000003</v>
      </c>
      <c r="AF51">
        <v>2.3238899999999999E-3</v>
      </c>
      <c r="AG51">
        <v>0</v>
      </c>
      <c r="AH51">
        <v>1.23711E-3</v>
      </c>
      <c r="AI51">
        <v>0.28261720000000001</v>
      </c>
      <c r="AJ51">
        <v>0</v>
      </c>
      <c r="AK51">
        <v>2.83764189</v>
      </c>
      <c r="AL51">
        <v>0</v>
      </c>
      <c r="AM51">
        <v>8.6000000000000002E-7</v>
      </c>
      <c r="AN51">
        <v>0</v>
      </c>
      <c r="AO51">
        <v>0</v>
      </c>
      <c r="AP51">
        <v>0</v>
      </c>
      <c r="AQ51">
        <v>0</v>
      </c>
      <c r="AR51">
        <v>0.21942134999999999</v>
      </c>
      <c r="AS51">
        <v>1.3477899999999999E-2</v>
      </c>
      <c r="AT51" s="4">
        <v>1.4532715199999999</v>
      </c>
      <c r="AU51">
        <v>0.79369931000000005</v>
      </c>
      <c r="AV51">
        <v>14.02546291</v>
      </c>
      <c r="AW51">
        <v>11.49711609</v>
      </c>
      <c r="AX51">
        <v>0.28137600000000001</v>
      </c>
      <c r="AY51" s="4">
        <v>0</v>
      </c>
    </row>
    <row r="52" spans="1:51" x14ac:dyDescent="0.25">
      <c r="A52" s="14"/>
      <c r="B52" s="11"/>
      <c r="C52" t="s">
        <v>7</v>
      </c>
      <c r="D52">
        <v>0</v>
      </c>
      <c r="E52">
        <v>1.60065941</v>
      </c>
      <c r="F52">
        <v>1.7671388100000001</v>
      </c>
      <c r="G52">
        <v>3.1437499999999998E-3</v>
      </c>
      <c r="H52">
        <v>1.20639619</v>
      </c>
      <c r="I52">
        <v>0.37733222</v>
      </c>
      <c r="J52">
        <v>14.474108790000001</v>
      </c>
      <c r="K52">
        <v>213.19464349</v>
      </c>
      <c r="L52">
        <v>0.51667766999999998</v>
      </c>
      <c r="M52">
        <v>23.463305980000001</v>
      </c>
      <c r="N52">
        <v>250.27869458000001</v>
      </c>
      <c r="O52">
        <v>0.81968070999999998</v>
      </c>
      <c r="P52">
        <v>0.53895567</v>
      </c>
      <c r="Q52">
        <v>0.10691491</v>
      </c>
      <c r="R52">
        <v>1.012335E-2</v>
      </c>
      <c r="S52">
        <v>0.67578152999999996</v>
      </c>
      <c r="T52">
        <v>3.92197548</v>
      </c>
      <c r="U52">
        <v>0.52163453000000004</v>
      </c>
      <c r="V52">
        <v>1.0802457000000001</v>
      </c>
      <c r="W52">
        <v>0.46101196999999999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1.52724305</v>
      </c>
      <c r="AD52">
        <v>0.69825451000000005</v>
      </c>
      <c r="AE52">
        <v>0.37403711000000001</v>
      </c>
      <c r="AF52">
        <v>6.9247645499999999</v>
      </c>
      <c r="AG52">
        <v>0</v>
      </c>
      <c r="AH52">
        <v>1.3456900000000001E-3</v>
      </c>
      <c r="AI52">
        <v>0.36113654000000001</v>
      </c>
      <c r="AJ52">
        <v>0</v>
      </c>
      <c r="AK52">
        <v>4.3857010000000001</v>
      </c>
      <c r="AL52">
        <v>0</v>
      </c>
      <c r="AM52">
        <v>3.8000000000000001E-7</v>
      </c>
      <c r="AN52">
        <v>0</v>
      </c>
      <c r="AO52">
        <v>0</v>
      </c>
      <c r="AP52">
        <v>0</v>
      </c>
      <c r="AQ52">
        <v>0</v>
      </c>
      <c r="AR52">
        <v>0.56359667999999996</v>
      </c>
      <c r="AS52">
        <v>2.8241289999999999E-2</v>
      </c>
      <c r="AT52" s="4">
        <v>2.51000669</v>
      </c>
      <c r="AU52">
        <v>1.41226528</v>
      </c>
      <c r="AV52">
        <v>90.356832470000001</v>
      </c>
      <c r="AW52">
        <v>75.682347300000004</v>
      </c>
      <c r="AX52">
        <v>10.7522132</v>
      </c>
      <c r="AY52" s="4">
        <v>0</v>
      </c>
    </row>
    <row r="53" spans="1:51" x14ac:dyDescent="0.25">
      <c r="A53" s="14"/>
      <c r="B53" s="11"/>
      <c r="C53" t="s">
        <v>8</v>
      </c>
      <c r="D53">
        <v>1.021356E-2</v>
      </c>
      <c r="E53">
        <v>0.26869600999999999</v>
      </c>
      <c r="F53">
        <v>5.6363699999999999E-3</v>
      </c>
      <c r="G53">
        <v>8.9274000000000005E-4</v>
      </c>
      <c r="H53">
        <v>8.8658499999999998E-3</v>
      </c>
      <c r="I53">
        <v>1.3541000000000001E-4</v>
      </c>
      <c r="J53">
        <v>2.8379999999999998E-3</v>
      </c>
      <c r="K53">
        <v>2.9357799999999998E-3</v>
      </c>
      <c r="L53">
        <v>48.289937399999999</v>
      </c>
      <c r="M53">
        <v>16.672494919999998</v>
      </c>
      <c r="N53">
        <v>0.48831972000000001</v>
      </c>
      <c r="O53">
        <v>2.338405E-2</v>
      </c>
      <c r="P53">
        <v>0.12710581000000001</v>
      </c>
      <c r="Q53">
        <v>1.506237E-2</v>
      </c>
      <c r="R53">
        <v>8.6572000000000005E-4</v>
      </c>
      <c r="S53">
        <v>2.7183539999999999E-2</v>
      </c>
      <c r="T53">
        <v>2.2765770000000001E-2</v>
      </c>
      <c r="U53">
        <v>2.38083E-3</v>
      </c>
      <c r="V53">
        <v>7.4537439999999996E-2</v>
      </c>
      <c r="W53">
        <v>0.53301677000000003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0.53691288000000004</v>
      </c>
      <c r="AD53">
        <v>9.3348299999999995E-2</v>
      </c>
      <c r="AE53">
        <v>1.324735E-2</v>
      </c>
      <c r="AF53">
        <v>24.8761063</v>
      </c>
      <c r="AG53">
        <v>2227.83795689</v>
      </c>
      <c r="AH53">
        <v>8.8006E-4</v>
      </c>
      <c r="AI53">
        <v>0.45539457999999999</v>
      </c>
      <c r="AJ53">
        <v>0</v>
      </c>
      <c r="AK53">
        <v>2.9845021799999998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0.20483493999999999</v>
      </c>
      <c r="AS53">
        <v>7.1193999999999997E-3</v>
      </c>
      <c r="AT53" s="4">
        <v>0</v>
      </c>
      <c r="AU53">
        <v>2.2081744400000001</v>
      </c>
      <c r="AV53">
        <v>39.42289229</v>
      </c>
      <c r="AW53">
        <v>14.313236440000001</v>
      </c>
      <c r="AX53">
        <v>22.901481409999999</v>
      </c>
      <c r="AY53" s="4">
        <v>0</v>
      </c>
    </row>
    <row r="54" spans="1:51" x14ac:dyDescent="0.25">
      <c r="A54" s="14"/>
      <c r="B54" s="11"/>
      <c r="C54" t="s">
        <v>9</v>
      </c>
      <c r="D54">
        <v>0.85968661999999996</v>
      </c>
      <c r="E54">
        <v>2.5053650300000001</v>
      </c>
      <c r="F54">
        <v>85.023189239999994</v>
      </c>
      <c r="G54">
        <v>12.71965865</v>
      </c>
      <c r="H54">
        <v>1.9367014499999999</v>
      </c>
      <c r="I54">
        <v>5.5038400000000001E-2</v>
      </c>
      <c r="J54">
        <v>8.0125539999999995E-2</v>
      </c>
      <c r="K54">
        <v>6.6554091800000004</v>
      </c>
      <c r="L54">
        <v>248.27232602999999</v>
      </c>
      <c r="M54">
        <v>907.19983575000003</v>
      </c>
      <c r="N54">
        <v>22.305464090000001</v>
      </c>
      <c r="O54">
        <v>0.95350886999999995</v>
      </c>
      <c r="P54">
        <v>0.65142135000000001</v>
      </c>
      <c r="Q54">
        <v>0.12277005000000001</v>
      </c>
      <c r="R54">
        <v>6.7184200000000001E-3</v>
      </c>
      <c r="S54">
        <v>0.18509154999999999</v>
      </c>
      <c r="T54">
        <v>2.9447373400000001</v>
      </c>
      <c r="U54">
        <v>0.15599557999999999</v>
      </c>
      <c r="V54">
        <v>0.66522294000000004</v>
      </c>
      <c r="W54">
        <v>1.86617572</v>
      </c>
      <c r="X54">
        <v>0</v>
      </c>
      <c r="Y54">
        <v>0</v>
      </c>
      <c r="Z54">
        <v>0</v>
      </c>
      <c r="AA54">
        <v>0</v>
      </c>
      <c r="AB54">
        <v>0</v>
      </c>
      <c r="AC54">
        <v>7.7121703699999999</v>
      </c>
      <c r="AD54">
        <v>5.3101770200000002</v>
      </c>
      <c r="AE54">
        <v>30.357525949999999</v>
      </c>
      <c r="AF54">
        <v>2.6334613500000001</v>
      </c>
      <c r="AG54">
        <v>53.20465343</v>
      </c>
      <c r="AH54">
        <v>4.2626599999999997E-3</v>
      </c>
      <c r="AI54">
        <v>2.2242292300000002</v>
      </c>
      <c r="AJ54">
        <v>0</v>
      </c>
      <c r="AK54">
        <v>19.988341219999999</v>
      </c>
      <c r="AL54">
        <v>0</v>
      </c>
      <c r="AM54">
        <v>1.81E-6</v>
      </c>
      <c r="AN54">
        <v>0</v>
      </c>
      <c r="AO54">
        <v>0</v>
      </c>
      <c r="AP54">
        <v>0</v>
      </c>
      <c r="AQ54">
        <v>0</v>
      </c>
      <c r="AR54">
        <v>1.0803398200000001</v>
      </c>
      <c r="AS54">
        <v>0.13866719</v>
      </c>
      <c r="AT54" s="4">
        <v>0</v>
      </c>
      <c r="AU54">
        <v>20.252539980000002</v>
      </c>
      <c r="AV54">
        <v>364.25402077000001</v>
      </c>
      <c r="AW54">
        <v>329.60193349000002</v>
      </c>
      <c r="AX54">
        <v>14.399547310000001</v>
      </c>
      <c r="AY54" s="4">
        <v>0</v>
      </c>
    </row>
    <row r="55" spans="1:51" x14ac:dyDescent="0.25">
      <c r="A55" s="14"/>
      <c r="B55" s="11"/>
      <c r="C55" t="s">
        <v>10</v>
      </c>
      <c r="D55">
        <v>1398.01224052</v>
      </c>
      <c r="E55">
        <v>0.74709798999999999</v>
      </c>
      <c r="F55">
        <v>0.25726026000000002</v>
      </c>
      <c r="G55">
        <v>7.7090300000000004E-3</v>
      </c>
      <c r="H55">
        <v>8.4496790000000002E-2</v>
      </c>
      <c r="I55">
        <v>2.4504399999999999E-3</v>
      </c>
      <c r="J55">
        <v>6.7129900000000003E-3</v>
      </c>
      <c r="K55">
        <v>3.055983E-2</v>
      </c>
      <c r="L55">
        <v>5.51530319</v>
      </c>
      <c r="M55">
        <v>7.8779274900000003</v>
      </c>
      <c r="N55">
        <v>751.21338863999995</v>
      </c>
      <c r="O55">
        <v>2.4428879399999999</v>
      </c>
      <c r="P55">
        <v>0.3989432</v>
      </c>
      <c r="Q55">
        <v>0.95544404999999999</v>
      </c>
      <c r="R55">
        <v>4.6412399999999996E-3</v>
      </c>
      <c r="S55">
        <v>3.4821280000000003E-2</v>
      </c>
      <c r="T55">
        <v>0.39925328999999998</v>
      </c>
      <c r="U55">
        <v>0.1512191</v>
      </c>
      <c r="V55">
        <v>109.86268751</v>
      </c>
      <c r="W55">
        <v>1.99423872</v>
      </c>
      <c r="X55">
        <v>0</v>
      </c>
      <c r="Y55">
        <v>0</v>
      </c>
      <c r="Z55">
        <v>0</v>
      </c>
      <c r="AA55">
        <v>0</v>
      </c>
      <c r="AB55">
        <v>0</v>
      </c>
      <c r="AC55">
        <v>1.3968166200000001</v>
      </c>
      <c r="AD55">
        <v>6.7121095799999999</v>
      </c>
      <c r="AE55">
        <v>4.2736900000000001E-3</v>
      </c>
      <c r="AF55">
        <v>44.791390620000001</v>
      </c>
      <c r="AG55">
        <v>8.0000000000000002E-8</v>
      </c>
      <c r="AH55">
        <v>9.3660199999999992E-3</v>
      </c>
      <c r="AI55">
        <v>1.9188739800000001</v>
      </c>
      <c r="AJ55">
        <v>0</v>
      </c>
      <c r="AK55">
        <v>11.261285600000001</v>
      </c>
      <c r="AL55">
        <v>0</v>
      </c>
      <c r="AM55">
        <v>2.3999999999999998E-7</v>
      </c>
      <c r="AN55">
        <v>0</v>
      </c>
      <c r="AO55">
        <v>0</v>
      </c>
      <c r="AP55">
        <v>0</v>
      </c>
      <c r="AQ55">
        <v>0</v>
      </c>
      <c r="AR55">
        <v>1.5498545500000001</v>
      </c>
      <c r="AS55">
        <v>4.1168940000000001E-2</v>
      </c>
      <c r="AT55" s="4">
        <v>0</v>
      </c>
      <c r="AU55">
        <v>6.6679693200000001</v>
      </c>
      <c r="AV55">
        <v>15.55214119</v>
      </c>
      <c r="AW55">
        <v>0</v>
      </c>
      <c r="AX55">
        <v>8.8841718600000004</v>
      </c>
      <c r="AY55" s="4">
        <v>0</v>
      </c>
    </row>
    <row r="56" spans="1:51" x14ac:dyDescent="0.25">
      <c r="A56" s="14"/>
      <c r="B56" s="11"/>
      <c r="C56" t="s">
        <v>11</v>
      </c>
      <c r="D56">
        <v>0.11399494</v>
      </c>
      <c r="E56">
        <v>1.0618480400000001</v>
      </c>
      <c r="F56">
        <v>0.47765414</v>
      </c>
      <c r="G56">
        <v>2.0003500000000001E-3</v>
      </c>
      <c r="H56">
        <v>0.17712190999999999</v>
      </c>
      <c r="I56">
        <v>3.5519309999999998E-2</v>
      </c>
      <c r="J56">
        <v>0.14127202999999999</v>
      </c>
      <c r="K56">
        <v>8.9988559999999995E-2</v>
      </c>
      <c r="L56">
        <v>0.14814506999999999</v>
      </c>
      <c r="M56">
        <v>2.4861255099999999</v>
      </c>
      <c r="N56">
        <v>115.86968117000001</v>
      </c>
      <c r="O56">
        <v>13.224180759999999</v>
      </c>
      <c r="P56">
        <v>4.1343835499999999</v>
      </c>
      <c r="Q56">
        <v>0.58525453999999999</v>
      </c>
      <c r="R56">
        <v>6.8192699999999997E-3</v>
      </c>
      <c r="S56">
        <v>0.63541236999999995</v>
      </c>
      <c r="T56">
        <v>2.0302175400000002</v>
      </c>
      <c r="U56">
        <v>0.51318934999999999</v>
      </c>
      <c r="V56">
        <v>0.72921111000000005</v>
      </c>
      <c r="W56">
        <v>0.46826921999999999</v>
      </c>
      <c r="X56">
        <v>0</v>
      </c>
      <c r="Y56">
        <v>0</v>
      </c>
      <c r="Z56">
        <v>0</v>
      </c>
      <c r="AA56">
        <v>0</v>
      </c>
      <c r="AB56">
        <v>0</v>
      </c>
      <c r="AC56">
        <v>1.7888514499999999</v>
      </c>
      <c r="AD56">
        <v>1.2987649699999999</v>
      </c>
      <c r="AE56">
        <v>5.0363700000000001E-3</v>
      </c>
      <c r="AF56">
        <v>4.1057100000000003E-3</v>
      </c>
      <c r="AG56">
        <v>0</v>
      </c>
      <c r="AH56">
        <v>2.8939500000000002E-3</v>
      </c>
      <c r="AI56">
        <v>0.53503714999999996</v>
      </c>
      <c r="AJ56">
        <v>0</v>
      </c>
      <c r="AK56">
        <v>6.5919586800000003</v>
      </c>
      <c r="AL56">
        <v>0</v>
      </c>
      <c r="AM56">
        <v>3.1599999999999998E-6</v>
      </c>
      <c r="AN56">
        <v>0</v>
      </c>
      <c r="AO56">
        <v>0</v>
      </c>
      <c r="AP56">
        <v>0</v>
      </c>
      <c r="AQ56">
        <v>0</v>
      </c>
      <c r="AR56">
        <v>0.32366377000000002</v>
      </c>
      <c r="AS56">
        <v>6.9387340000000006E-2</v>
      </c>
      <c r="AT56" s="4">
        <v>9.0271461899999998</v>
      </c>
      <c r="AU56">
        <v>0.58420282999999995</v>
      </c>
      <c r="AV56">
        <v>14.609328290000001</v>
      </c>
      <c r="AW56">
        <v>4.0110666799999999</v>
      </c>
      <c r="AX56">
        <v>0.98691258000000004</v>
      </c>
      <c r="AY56" s="4">
        <v>0</v>
      </c>
    </row>
    <row r="57" spans="1:51" x14ac:dyDescent="0.25">
      <c r="A57" s="14"/>
      <c r="B57" s="11"/>
      <c r="C57" t="s">
        <v>12</v>
      </c>
      <c r="D57">
        <v>0</v>
      </c>
      <c r="E57">
        <v>1.9385350699999999</v>
      </c>
      <c r="F57">
        <v>6.1803200000000004E-3</v>
      </c>
      <c r="G57">
        <v>3.3907899999999999E-3</v>
      </c>
      <c r="H57">
        <v>0.50404101000000001</v>
      </c>
      <c r="I57">
        <v>2.5065839999999999E-2</v>
      </c>
      <c r="J57">
        <v>4.60437E-2</v>
      </c>
      <c r="K57">
        <v>0.15067769</v>
      </c>
      <c r="L57">
        <v>0.26216612</v>
      </c>
      <c r="M57">
        <v>11.88750366</v>
      </c>
      <c r="N57">
        <v>19.42760659</v>
      </c>
      <c r="O57">
        <v>7.6330091400000004</v>
      </c>
      <c r="P57">
        <v>101.46663967000001</v>
      </c>
      <c r="Q57">
        <v>5.5796764300000001</v>
      </c>
      <c r="R57">
        <v>1.1474568599999999</v>
      </c>
      <c r="S57">
        <v>21.057058179999999</v>
      </c>
      <c r="T57">
        <v>33.284729689999999</v>
      </c>
      <c r="U57">
        <v>9.5576672699999996</v>
      </c>
      <c r="V57">
        <v>0.44319538000000003</v>
      </c>
      <c r="W57">
        <v>0.89463422000000004</v>
      </c>
      <c r="X57">
        <v>0</v>
      </c>
      <c r="Y57">
        <v>0</v>
      </c>
      <c r="Z57">
        <v>0</v>
      </c>
      <c r="AA57">
        <v>0</v>
      </c>
      <c r="AB57">
        <v>0</v>
      </c>
      <c r="AC57">
        <v>3.6358048699999999</v>
      </c>
      <c r="AD57">
        <v>2.1007126500000002</v>
      </c>
      <c r="AE57">
        <v>9.1073899999999999E-3</v>
      </c>
      <c r="AF57">
        <v>2.9927399999999998E-3</v>
      </c>
      <c r="AG57">
        <v>2.9999999999999997E-8</v>
      </c>
      <c r="AH57">
        <v>2.199216E-2</v>
      </c>
      <c r="AI57">
        <v>0.56419587000000004</v>
      </c>
      <c r="AJ57">
        <v>0</v>
      </c>
      <c r="AK57">
        <v>8.0659684800000004</v>
      </c>
      <c r="AL57">
        <v>0</v>
      </c>
      <c r="AM57">
        <v>3.2799999999999999E-6</v>
      </c>
      <c r="AN57">
        <v>0</v>
      </c>
      <c r="AO57">
        <v>0</v>
      </c>
      <c r="AP57">
        <v>0</v>
      </c>
      <c r="AQ57">
        <v>0</v>
      </c>
      <c r="AR57">
        <v>1.23730221</v>
      </c>
      <c r="AS57">
        <v>4.5378139999999997E-2</v>
      </c>
      <c r="AT57" s="4">
        <v>224.61384071000001</v>
      </c>
      <c r="AU57">
        <v>9.6115582699999997</v>
      </c>
      <c r="AV57">
        <v>248.48296841000001</v>
      </c>
      <c r="AW57">
        <v>9.9181119300000002</v>
      </c>
      <c r="AX57">
        <v>4.3394575</v>
      </c>
      <c r="AY57" s="4">
        <v>0</v>
      </c>
    </row>
    <row r="58" spans="1:51" x14ac:dyDescent="0.25">
      <c r="A58" s="14"/>
      <c r="B58" s="11"/>
      <c r="C58" t="s">
        <v>13</v>
      </c>
      <c r="D58">
        <v>0</v>
      </c>
      <c r="E58">
        <v>3.1593195000000001</v>
      </c>
      <c r="F58">
        <v>1.1383310000000001E-2</v>
      </c>
      <c r="G58">
        <v>1.7467800000000001E-3</v>
      </c>
      <c r="H58">
        <v>1.41531232</v>
      </c>
      <c r="I58">
        <v>1.068966E-2</v>
      </c>
      <c r="J58">
        <v>0.18380994</v>
      </c>
      <c r="K58">
        <v>0.33992161999999998</v>
      </c>
      <c r="L58">
        <v>1.1888580500000001</v>
      </c>
      <c r="M58">
        <v>17.850233960000001</v>
      </c>
      <c r="N58">
        <v>8.3951300900000003</v>
      </c>
      <c r="O58">
        <v>4.7567865899999999</v>
      </c>
      <c r="P58">
        <v>38.886538289999997</v>
      </c>
      <c r="Q58">
        <v>64.147537799999995</v>
      </c>
      <c r="R58">
        <v>0.98916612000000004</v>
      </c>
      <c r="S58">
        <v>20.396426819999999</v>
      </c>
      <c r="T58">
        <v>34.253397450000001</v>
      </c>
      <c r="U58">
        <v>14.19072656</v>
      </c>
      <c r="V58">
        <v>0.42219517000000001</v>
      </c>
      <c r="W58">
        <v>0.47478219999999999</v>
      </c>
      <c r="X58">
        <v>0</v>
      </c>
      <c r="Y58">
        <v>0</v>
      </c>
      <c r="Z58">
        <v>0</v>
      </c>
      <c r="AA58">
        <v>0</v>
      </c>
      <c r="AB58">
        <v>0</v>
      </c>
      <c r="AC58">
        <v>3.26903693</v>
      </c>
      <c r="AD58">
        <v>2.33078568</v>
      </c>
      <c r="AE58">
        <v>2.1898939999999999E-2</v>
      </c>
      <c r="AF58">
        <v>2.0951199999999998E-3</v>
      </c>
      <c r="AG58">
        <v>1E-8</v>
      </c>
      <c r="AH58">
        <v>1.9966399999999999E-2</v>
      </c>
      <c r="AI58">
        <v>0.49605842999999999</v>
      </c>
      <c r="AJ58">
        <v>0</v>
      </c>
      <c r="AK58">
        <v>6.49214015</v>
      </c>
      <c r="AL58">
        <v>0</v>
      </c>
      <c r="AM58">
        <v>4.5900000000000001E-6</v>
      </c>
      <c r="AN58">
        <v>0</v>
      </c>
      <c r="AO58">
        <v>0</v>
      </c>
      <c r="AP58">
        <v>0</v>
      </c>
      <c r="AQ58">
        <v>0</v>
      </c>
      <c r="AR58">
        <v>0.53093661999999997</v>
      </c>
      <c r="AS58">
        <v>5.3476660000000002E-2</v>
      </c>
      <c r="AT58" s="4">
        <v>507.58291958000001</v>
      </c>
      <c r="AU58">
        <v>1.93102226</v>
      </c>
      <c r="AV58">
        <v>533.14967920000004</v>
      </c>
      <c r="AW58">
        <v>22.16969666</v>
      </c>
      <c r="AX58">
        <v>1.4660407</v>
      </c>
      <c r="AY58" s="4">
        <v>0</v>
      </c>
    </row>
    <row r="59" spans="1:51" x14ac:dyDescent="0.25">
      <c r="A59" s="14"/>
      <c r="B59" s="11"/>
      <c r="C59" t="s">
        <v>14</v>
      </c>
      <c r="D59">
        <v>0</v>
      </c>
      <c r="E59">
        <v>6.1909434599999997</v>
      </c>
      <c r="F59">
        <v>0.32220837000000002</v>
      </c>
      <c r="G59">
        <v>4.0703600000000003E-3</v>
      </c>
      <c r="H59">
        <v>1.65602944</v>
      </c>
      <c r="I59">
        <v>0.18448065999999999</v>
      </c>
      <c r="J59">
        <v>2.1395499</v>
      </c>
      <c r="K59">
        <v>0.14844147999999999</v>
      </c>
      <c r="L59">
        <v>0.58495587000000004</v>
      </c>
      <c r="M59">
        <v>46.053976329999998</v>
      </c>
      <c r="N59">
        <v>36.299515120000002</v>
      </c>
      <c r="O59">
        <v>10.0679832</v>
      </c>
      <c r="P59">
        <v>121.26586919</v>
      </c>
      <c r="Q59">
        <v>1.8933987000000001</v>
      </c>
      <c r="R59">
        <v>171.07359575000001</v>
      </c>
      <c r="S59">
        <v>80.05116975</v>
      </c>
      <c r="T59">
        <v>110.72550278</v>
      </c>
      <c r="U59">
        <v>26.851542479999999</v>
      </c>
      <c r="V59">
        <v>0.42190032999999999</v>
      </c>
      <c r="W59">
        <v>0.92265938000000003</v>
      </c>
      <c r="X59">
        <v>0</v>
      </c>
      <c r="Y59">
        <v>0</v>
      </c>
      <c r="Z59">
        <v>0</v>
      </c>
      <c r="AA59">
        <v>0</v>
      </c>
      <c r="AB59">
        <v>0</v>
      </c>
      <c r="AC59">
        <v>2.9435436799999999</v>
      </c>
      <c r="AD59">
        <v>1.40980975</v>
      </c>
      <c r="AE59">
        <v>2.0078470000000001E-2</v>
      </c>
      <c r="AF59">
        <v>8.1537000000000005E-4</v>
      </c>
      <c r="AG59">
        <v>4.0000000000000001E-8</v>
      </c>
      <c r="AH59">
        <v>1.010406E-2</v>
      </c>
      <c r="AI59">
        <v>0.69411718</v>
      </c>
      <c r="AJ59">
        <v>0</v>
      </c>
      <c r="AK59">
        <v>20.232222749999998</v>
      </c>
      <c r="AL59">
        <v>0</v>
      </c>
      <c r="AM59">
        <v>2.5680000000000001E-5</v>
      </c>
      <c r="AN59">
        <v>0</v>
      </c>
      <c r="AO59">
        <v>0</v>
      </c>
      <c r="AP59">
        <v>0</v>
      </c>
      <c r="AQ59">
        <v>0</v>
      </c>
      <c r="AR59">
        <v>0.53223107000000003</v>
      </c>
      <c r="AS59">
        <v>4.096441E-2</v>
      </c>
      <c r="AT59" s="4">
        <v>200.52084626000001</v>
      </c>
      <c r="AU59">
        <v>7.0637052999999996</v>
      </c>
      <c r="AV59">
        <v>412.32882531000001</v>
      </c>
      <c r="AW59">
        <v>200.86613419</v>
      </c>
      <c r="AX59">
        <v>3.8781395600000002</v>
      </c>
      <c r="AY59" s="4">
        <v>0</v>
      </c>
    </row>
    <row r="60" spans="1:51" x14ac:dyDescent="0.25">
      <c r="A60" s="14"/>
      <c r="B60" s="11"/>
      <c r="C60" t="s">
        <v>15</v>
      </c>
      <c r="D60">
        <v>0</v>
      </c>
      <c r="E60">
        <v>13.827904739999999</v>
      </c>
      <c r="F60">
        <v>3.6526256400000001</v>
      </c>
      <c r="G60">
        <v>4.4491899999999996E-3</v>
      </c>
      <c r="H60">
        <v>1.04504821</v>
      </c>
      <c r="I60">
        <v>7.3119600000000002E-3</v>
      </c>
      <c r="J60">
        <v>3.4484309999999997E-2</v>
      </c>
      <c r="K60">
        <v>2.5072772799999998</v>
      </c>
      <c r="L60">
        <v>0.13602626000000001</v>
      </c>
      <c r="M60">
        <v>120.12457139</v>
      </c>
      <c r="N60">
        <v>69.154844819999994</v>
      </c>
      <c r="O60">
        <v>5.5886127099999996</v>
      </c>
      <c r="P60">
        <v>18.30170893</v>
      </c>
      <c r="Q60">
        <v>0.31607088</v>
      </c>
      <c r="R60">
        <v>0.14766990999999999</v>
      </c>
      <c r="S60">
        <v>125.99033805000001</v>
      </c>
      <c r="T60">
        <v>151.11333981000001</v>
      </c>
      <c r="U60">
        <v>3.45204946</v>
      </c>
      <c r="V60">
        <v>1.1796110099999999</v>
      </c>
      <c r="W60">
        <v>0.56975354</v>
      </c>
      <c r="X60">
        <v>0</v>
      </c>
      <c r="Y60">
        <v>0</v>
      </c>
      <c r="Z60">
        <v>0</v>
      </c>
      <c r="AA60">
        <v>0</v>
      </c>
      <c r="AB60">
        <v>0</v>
      </c>
      <c r="AC60">
        <v>4.3047670399999998</v>
      </c>
      <c r="AD60">
        <v>2.4207254800000002</v>
      </c>
      <c r="AE60">
        <v>4.5104100000000003E-3</v>
      </c>
      <c r="AF60">
        <v>1.77747E-3</v>
      </c>
      <c r="AG60">
        <v>0</v>
      </c>
      <c r="AH60">
        <v>9.4532000000000001E-3</v>
      </c>
      <c r="AI60">
        <v>0.91990481000000002</v>
      </c>
      <c r="AJ60">
        <v>0</v>
      </c>
      <c r="AK60">
        <v>15.830321</v>
      </c>
      <c r="AL60">
        <v>0</v>
      </c>
      <c r="AM60">
        <v>1.431E-5</v>
      </c>
      <c r="AN60">
        <v>0</v>
      </c>
      <c r="AO60">
        <v>0</v>
      </c>
      <c r="AP60">
        <v>0</v>
      </c>
      <c r="AQ60">
        <v>0</v>
      </c>
      <c r="AR60">
        <v>0.93547422999999996</v>
      </c>
      <c r="AS60">
        <v>3.3682379999999998E-2</v>
      </c>
      <c r="AT60" s="4">
        <v>50.047009019999997</v>
      </c>
      <c r="AU60">
        <v>12.65229789</v>
      </c>
      <c r="AV60">
        <v>129.03135531000001</v>
      </c>
      <c r="AW60">
        <v>53.66458987</v>
      </c>
      <c r="AX60">
        <v>12.66745852</v>
      </c>
      <c r="AY60" s="4">
        <v>0</v>
      </c>
    </row>
    <row r="61" spans="1:51" x14ac:dyDescent="0.25">
      <c r="A61" s="14"/>
      <c r="B61" s="11"/>
      <c r="C61" t="s">
        <v>16</v>
      </c>
      <c r="D61">
        <v>2.8430000000000001E-5</v>
      </c>
      <c r="E61">
        <v>19.841692129999998</v>
      </c>
      <c r="F61">
        <v>4.5674699999999997E-3</v>
      </c>
      <c r="G61">
        <v>1.367994E-2</v>
      </c>
      <c r="H61">
        <v>0.96421504999999996</v>
      </c>
      <c r="I61">
        <v>2.5536420000000001E-2</v>
      </c>
      <c r="J61">
        <v>3.0346789999999998E-2</v>
      </c>
      <c r="K61">
        <v>0.76146937999999997</v>
      </c>
      <c r="L61">
        <v>0.56655557000000001</v>
      </c>
      <c r="M61">
        <v>74.185125729999996</v>
      </c>
      <c r="N61">
        <v>129.69401551000001</v>
      </c>
      <c r="O61">
        <v>3.6871518999999999</v>
      </c>
      <c r="P61">
        <v>4.5006243599999998</v>
      </c>
      <c r="Q61">
        <v>9.2639901800000004</v>
      </c>
      <c r="R61">
        <v>5.5495070000000001E-2</v>
      </c>
      <c r="S61">
        <v>60.793075780000002</v>
      </c>
      <c r="T61">
        <v>2748.4073400100001</v>
      </c>
      <c r="U61">
        <v>26.513653420000001</v>
      </c>
      <c r="V61">
        <v>0.84754523000000004</v>
      </c>
      <c r="W61">
        <v>1.2264102100000001</v>
      </c>
      <c r="X61">
        <v>0</v>
      </c>
      <c r="Y61">
        <v>0</v>
      </c>
      <c r="Z61">
        <v>0</v>
      </c>
      <c r="AA61">
        <v>0</v>
      </c>
      <c r="AB61">
        <v>0</v>
      </c>
      <c r="AC61">
        <v>2.83300756</v>
      </c>
      <c r="AD61">
        <v>1.17237082</v>
      </c>
      <c r="AE61">
        <v>4.6332300000000003E-3</v>
      </c>
      <c r="AF61">
        <v>4.7099999999999998E-6</v>
      </c>
      <c r="AG61">
        <v>0</v>
      </c>
      <c r="AH61">
        <v>1.8315123900000001</v>
      </c>
      <c r="AI61">
        <v>0.80219518999999995</v>
      </c>
      <c r="AJ61">
        <v>0</v>
      </c>
      <c r="AK61">
        <v>10.50098726</v>
      </c>
      <c r="AL61">
        <v>0</v>
      </c>
      <c r="AM61">
        <v>1.17E-6</v>
      </c>
      <c r="AN61">
        <v>0</v>
      </c>
      <c r="AO61">
        <v>0</v>
      </c>
      <c r="AP61">
        <v>0</v>
      </c>
      <c r="AQ61">
        <v>0</v>
      </c>
      <c r="AR61">
        <v>1.4544073</v>
      </c>
      <c r="AS61">
        <v>3.6479869999999998E-2</v>
      </c>
      <c r="AT61" s="4">
        <v>462.13380379</v>
      </c>
      <c r="AU61">
        <v>67.266704410000003</v>
      </c>
      <c r="AV61">
        <v>1217.26955241</v>
      </c>
      <c r="AW61">
        <v>293.55883071</v>
      </c>
      <c r="AX61">
        <v>394.31021349999997</v>
      </c>
      <c r="AY61" s="4">
        <v>0</v>
      </c>
    </row>
    <row r="62" spans="1:51" x14ac:dyDescent="0.25">
      <c r="A62" s="14"/>
      <c r="B62" s="11"/>
      <c r="C62" t="s">
        <v>17</v>
      </c>
      <c r="D62">
        <v>0</v>
      </c>
      <c r="E62">
        <v>1.2681284100000001</v>
      </c>
      <c r="F62">
        <v>0.46040131000000001</v>
      </c>
      <c r="G62">
        <v>3.9371000000000002E-4</v>
      </c>
      <c r="H62">
        <v>2.8294739999999999E-2</v>
      </c>
      <c r="I62">
        <v>0.10372455</v>
      </c>
      <c r="J62">
        <v>6.5538899999999997E-3</v>
      </c>
      <c r="K62">
        <v>0.10275437</v>
      </c>
      <c r="L62">
        <v>0.24675146000000001</v>
      </c>
      <c r="M62">
        <v>4.9508424599999996</v>
      </c>
      <c r="N62">
        <v>1.3485717699999999</v>
      </c>
      <c r="O62">
        <v>0.69759852</v>
      </c>
      <c r="P62">
        <v>2.0870681200000001</v>
      </c>
      <c r="Q62">
        <v>0.13581077999999999</v>
      </c>
      <c r="R62">
        <v>7.6243400000000003E-3</v>
      </c>
      <c r="S62">
        <v>17.178409769999998</v>
      </c>
      <c r="T62">
        <v>48.803345299999997</v>
      </c>
      <c r="U62">
        <v>53.133984439999999</v>
      </c>
      <c r="V62">
        <v>0.59191780000000005</v>
      </c>
      <c r="W62">
        <v>7.1930930000000004E-2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1.22027697</v>
      </c>
      <c r="AD62">
        <v>0.72730286</v>
      </c>
      <c r="AE62">
        <v>3.5976999999999998E-4</v>
      </c>
      <c r="AF62">
        <v>1.6181999999999999E-4</v>
      </c>
      <c r="AG62">
        <v>0</v>
      </c>
      <c r="AH62">
        <v>1.4860800000000001E-3</v>
      </c>
      <c r="AI62">
        <v>0.14725315999999999</v>
      </c>
      <c r="AJ62">
        <v>0</v>
      </c>
      <c r="AK62">
        <v>1.41015439</v>
      </c>
      <c r="AL62">
        <v>0</v>
      </c>
      <c r="AM62">
        <v>2.1600000000000001E-6</v>
      </c>
      <c r="AN62">
        <v>0</v>
      </c>
      <c r="AO62">
        <v>0</v>
      </c>
      <c r="AP62">
        <v>0</v>
      </c>
      <c r="AQ62">
        <v>0</v>
      </c>
      <c r="AR62">
        <v>2.8798689999999998E-2</v>
      </c>
      <c r="AS62">
        <v>4.2847800000000002E-3</v>
      </c>
      <c r="AT62" s="4">
        <v>198.60937032999999</v>
      </c>
      <c r="AU62">
        <v>3.09165745</v>
      </c>
      <c r="AV62">
        <v>244.89429913999999</v>
      </c>
      <c r="AW62">
        <v>38.79755385</v>
      </c>
      <c r="AX62">
        <v>4.3957175099999999</v>
      </c>
      <c r="AY62" s="4">
        <v>0</v>
      </c>
    </row>
    <row r="63" spans="1:51" x14ac:dyDescent="0.25">
      <c r="A63" s="14"/>
      <c r="B63" s="11"/>
      <c r="C63" t="s">
        <v>18</v>
      </c>
      <c r="D63">
        <v>1.68717E-3</v>
      </c>
      <c r="E63">
        <v>0.46029499000000001</v>
      </c>
      <c r="F63">
        <v>4.8429600000000003E-2</v>
      </c>
      <c r="G63">
        <v>1.221738E-2</v>
      </c>
      <c r="H63">
        <v>0.42371472999999998</v>
      </c>
      <c r="I63">
        <v>1.6472799999999999E-2</v>
      </c>
      <c r="J63">
        <v>3.529997E-2</v>
      </c>
      <c r="K63">
        <v>1.8543750000000001E-2</v>
      </c>
      <c r="L63">
        <v>1.376694E-2</v>
      </c>
      <c r="M63">
        <v>3.7069509799999998</v>
      </c>
      <c r="N63">
        <v>1.9032650799999999</v>
      </c>
      <c r="O63">
        <v>0.33526856999999999</v>
      </c>
      <c r="P63">
        <v>1.0804606999999999</v>
      </c>
      <c r="Q63">
        <v>1.1524710000000001E-2</v>
      </c>
      <c r="R63">
        <v>6.4241000000000005E-4</v>
      </c>
      <c r="S63">
        <v>1.5337916300000001</v>
      </c>
      <c r="T63">
        <v>1.5767678599999999</v>
      </c>
      <c r="U63">
        <v>0.21554893999999999</v>
      </c>
      <c r="V63">
        <v>25.568801220000001</v>
      </c>
      <c r="W63">
        <v>0.43263568000000002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0.47471302999999998</v>
      </c>
      <c r="AD63">
        <v>0.17984585</v>
      </c>
      <c r="AE63">
        <v>2.1430689999999999E-2</v>
      </c>
      <c r="AF63">
        <v>9.8091999999999993E-4</v>
      </c>
      <c r="AG63">
        <v>0</v>
      </c>
      <c r="AH63">
        <v>1.3568E-4</v>
      </c>
      <c r="AI63">
        <v>0.14286213</v>
      </c>
      <c r="AJ63">
        <v>0</v>
      </c>
      <c r="AK63">
        <v>0.98592581999999995</v>
      </c>
      <c r="AL63">
        <v>0</v>
      </c>
      <c r="AM63">
        <v>3.4999999999999998E-7</v>
      </c>
      <c r="AN63">
        <v>0</v>
      </c>
      <c r="AO63">
        <v>0</v>
      </c>
      <c r="AP63">
        <v>0</v>
      </c>
      <c r="AQ63">
        <v>0</v>
      </c>
      <c r="AR63">
        <v>8.365235E-2</v>
      </c>
      <c r="AS63">
        <v>6.2816299999999999E-3</v>
      </c>
      <c r="AT63" s="4">
        <v>0</v>
      </c>
      <c r="AU63">
        <v>0.18168050999999999</v>
      </c>
      <c r="AV63">
        <v>29.453234210000002</v>
      </c>
      <c r="AW63">
        <v>27.710327800000002</v>
      </c>
      <c r="AX63">
        <v>1.5612258999999999</v>
      </c>
      <c r="AY63" s="4">
        <v>0</v>
      </c>
    </row>
    <row r="64" spans="1:51" x14ac:dyDescent="0.25">
      <c r="A64" s="14"/>
      <c r="B64" s="11"/>
      <c r="C64" t="s">
        <v>19</v>
      </c>
      <c r="D64">
        <v>0</v>
      </c>
      <c r="E64">
        <v>1.7634300000000001E-3</v>
      </c>
      <c r="F64">
        <v>1.16435E-3</v>
      </c>
      <c r="G64">
        <v>9.7769999999999994E-5</v>
      </c>
      <c r="H64">
        <v>1.327764E-2</v>
      </c>
      <c r="I64">
        <v>6.2550000000000003E-5</v>
      </c>
      <c r="J64">
        <v>1.0067100000000001E-3</v>
      </c>
      <c r="K64">
        <v>1.1459599999999999E-3</v>
      </c>
      <c r="L64">
        <v>0.22721798000000001</v>
      </c>
      <c r="M64">
        <v>1.76264614</v>
      </c>
      <c r="N64">
        <v>7.9162620000000003E-2</v>
      </c>
      <c r="O64">
        <v>3.2673870000000001E-2</v>
      </c>
      <c r="P64">
        <v>3.4538606500000002</v>
      </c>
      <c r="Q64">
        <v>9.3705559999999993E-2</v>
      </c>
      <c r="R64">
        <v>0.78176807000000004</v>
      </c>
      <c r="S64">
        <v>0.37933257999999997</v>
      </c>
      <c r="T64">
        <v>0.29945434999999998</v>
      </c>
      <c r="U64">
        <v>1.3946562899999999</v>
      </c>
      <c r="V64">
        <v>3.4843190000000003E-2</v>
      </c>
      <c r="W64">
        <v>6.9451100000000002E-2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0.17066790000000001</v>
      </c>
      <c r="AD64">
        <v>8.2318589999999997E-2</v>
      </c>
      <c r="AE64">
        <v>1.1256000000000001E-4</v>
      </c>
      <c r="AF64">
        <v>4.9744999999999998E-4</v>
      </c>
      <c r="AG64">
        <v>0</v>
      </c>
      <c r="AH64">
        <v>4.5625E-4</v>
      </c>
      <c r="AI64">
        <v>6.6717780000000004E-2</v>
      </c>
      <c r="AJ64">
        <v>0</v>
      </c>
      <c r="AK64">
        <v>0.84778664999999997</v>
      </c>
      <c r="AL64">
        <v>0</v>
      </c>
      <c r="AM64">
        <v>2.3999999999999998E-7</v>
      </c>
      <c r="AN64">
        <v>0</v>
      </c>
      <c r="AO64">
        <v>0</v>
      </c>
      <c r="AP64">
        <v>0</v>
      </c>
      <c r="AQ64">
        <v>0</v>
      </c>
      <c r="AR64">
        <v>3.0097869999999999E-2</v>
      </c>
      <c r="AS64">
        <v>6.11627E-3</v>
      </c>
      <c r="AT64" s="4">
        <v>0</v>
      </c>
      <c r="AU64">
        <v>0</v>
      </c>
      <c r="AV64">
        <v>0</v>
      </c>
      <c r="AW64">
        <v>0</v>
      </c>
      <c r="AX64">
        <v>0</v>
      </c>
      <c r="AY64" s="4">
        <v>0</v>
      </c>
    </row>
    <row r="65" spans="1:51" x14ac:dyDescent="0.25">
      <c r="A65" s="14"/>
      <c r="B65" s="11"/>
      <c r="C65" t="s">
        <v>20</v>
      </c>
      <c r="D65">
        <v>0</v>
      </c>
      <c r="E65">
        <v>1.4951539999999999E-2</v>
      </c>
      <c r="F65">
        <v>4.4837399999999999E-3</v>
      </c>
      <c r="G65">
        <v>4.3911799999999997E-3</v>
      </c>
      <c r="H65">
        <v>9.4647000000000004E-4</v>
      </c>
      <c r="I65">
        <v>3.2626999999999998E-4</v>
      </c>
      <c r="J65">
        <v>3.9845599999999998E-3</v>
      </c>
      <c r="K65">
        <v>9.3630699999999994E-3</v>
      </c>
      <c r="L65">
        <v>10.084816249999999</v>
      </c>
      <c r="M65">
        <v>0.49369687000000001</v>
      </c>
      <c r="N65">
        <v>0.45437948</v>
      </c>
      <c r="O65">
        <v>1.1572310000000001E-2</v>
      </c>
      <c r="P65">
        <v>0.53152834000000004</v>
      </c>
      <c r="Q65">
        <v>2.7516699999999999E-3</v>
      </c>
      <c r="R65">
        <v>1.67519E-3</v>
      </c>
      <c r="S65">
        <v>4.8890505299999996</v>
      </c>
      <c r="T65">
        <v>0.39304438000000003</v>
      </c>
      <c r="U65">
        <v>0.95504254</v>
      </c>
      <c r="V65">
        <v>4.0250809999999998E-2</v>
      </c>
      <c r="W65">
        <v>3.7658650000000002E-2</v>
      </c>
      <c r="X65">
        <v>0.24553489000000001</v>
      </c>
      <c r="Y65">
        <v>0</v>
      </c>
      <c r="Z65">
        <v>0</v>
      </c>
      <c r="AA65">
        <v>0</v>
      </c>
      <c r="AB65">
        <v>0</v>
      </c>
      <c r="AC65">
        <v>1.0353044199999999</v>
      </c>
      <c r="AD65">
        <v>0.67138732000000001</v>
      </c>
      <c r="AE65">
        <v>1.3520259999999999E-2</v>
      </c>
      <c r="AF65">
        <v>183.09059187</v>
      </c>
      <c r="AG65">
        <v>0</v>
      </c>
      <c r="AH65">
        <v>4.7884900000000003E-3</v>
      </c>
      <c r="AI65">
        <v>0.45622868999999999</v>
      </c>
      <c r="AJ65">
        <v>0</v>
      </c>
      <c r="AK65">
        <v>0.77202225999999996</v>
      </c>
      <c r="AL65">
        <v>0</v>
      </c>
      <c r="AM65">
        <v>2.9999999999999999E-7</v>
      </c>
      <c r="AN65">
        <v>0</v>
      </c>
      <c r="AO65">
        <v>0</v>
      </c>
      <c r="AP65">
        <v>0</v>
      </c>
      <c r="AQ65">
        <v>0</v>
      </c>
      <c r="AR65">
        <v>0.82163589000000004</v>
      </c>
      <c r="AS65">
        <v>3.0194200000000001E-3</v>
      </c>
      <c r="AT65" s="4">
        <v>0</v>
      </c>
      <c r="AU65">
        <v>0</v>
      </c>
      <c r="AV65">
        <v>1.1046464600000001</v>
      </c>
      <c r="AW65">
        <v>1.1046464600000001</v>
      </c>
      <c r="AX65">
        <v>0</v>
      </c>
      <c r="AY65" s="4">
        <v>0</v>
      </c>
    </row>
    <row r="66" spans="1:51" x14ac:dyDescent="0.25">
      <c r="A66" s="14"/>
      <c r="B66" s="11"/>
      <c r="C66" t="s">
        <v>21</v>
      </c>
      <c r="D66">
        <v>0</v>
      </c>
      <c r="E66">
        <v>7.2623000000000002E-4</v>
      </c>
      <c r="F66">
        <v>0</v>
      </c>
      <c r="G66">
        <v>6.1335999999999997E-4</v>
      </c>
      <c r="H66">
        <v>1.537E-4</v>
      </c>
      <c r="I66">
        <v>1.7240000000000001E-5</v>
      </c>
      <c r="J66">
        <v>6.5270000000000004E-5</v>
      </c>
      <c r="K66">
        <v>1.1338699999999999E-3</v>
      </c>
      <c r="L66">
        <v>16.929590409999999</v>
      </c>
      <c r="M66">
        <v>0.17713027000000001</v>
      </c>
      <c r="N66">
        <v>2.5465399999999999E-3</v>
      </c>
      <c r="O66">
        <v>3.91895E-3</v>
      </c>
      <c r="P66">
        <v>1.379233E-2</v>
      </c>
      <c r="Q66">
        <v>1.6092999999999999E-4</v>
      </c>
      <c r="R66">
        <v>4.3600000000000003E-4</v>
      </c>
      <c r="S66">
        <v>2.0115100000000002E-3</v>
      </c>
      <c r="T66">
        <v>3.0082419999999999E-2</v>
      </c>
      <c r="U66">
        <v>1.8762500000000001E-3</v>
      </c>
      <c r="V66">
        <v>1.0815499999999999E-3</v>
      </c>
      <c r="W66">
        <v>3.8214299999999998E-3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0.24591233000000001</v>
      </c>
      <c r="AD66">
        <v>6.3648990000000003E-2</v>
      </c>
      <c r="AE66">
        <v>4.1490600000000004E-3</v>
      </c>
      <c r="AF66">
        <v>1.959319E-2</v>
      </c>
      <c r="AG66">
        <v>450.99491539000002</v>
      </c>
      <c r="AH66">
        <v>1.1498E-4</v>
      </c>
      <c r="AI66">
        <v>2.2147199999999999E-2</v>
      </c>
      <c r="AJ66">
        <v>0</v>
      </c>
      <c r="AK66">
        <v>0.1791616</v>
      </c>
      <c r="AL66">
        <v>0</v>
      </c>
      <c r="AM66">
        <v>1E-8</v>
      </c>
      <c r="AN66">
        <v>0</v>
      </c>
      <c r="AO66">
        <v>0</v>
      </c>
      <c r="AP66">
        <v>0</v>
      </c>
      <c r="AQ66">
        <v>0</v>
      </c>
      <c r="AR66">
        <v>3.4581710000000002E-2</v>
      </c>
      <c r="AS66">
        <v>1.6519000000000001E-4</v>
      </c>
      <c r="AT66" s="4">
        <v>0</v>
      </c>
      <c r="AU66">
        <v>0</v>
      </c>
      <c r="AV66">
        <v>0</v>
      </c>
      <c r="AW66">
        <v>0</v>
      </c>
      <c r="AX66">
        <v>0</v>
      </c>
      <c r="AY66" s="4">
        <v>0</v>
      </c>
    </row>
    <row r="67" spans="1:51" x14ac:dyDescent="0.25">
      <c r="A67" s="14"/>
      <c r="B67" s="11"/>
      <c r="C67" t="s">
        <v>22</v>
      </c>
      <c r="D67">
        <v>0</v>
      </c>
      <c r="E67">
        <v>3.6160000000000001E-4</v>
      </c>
      <c r="F67">
        <v>0</v>
      </c>
      <c r="G67">
        <v>4.0470000000000002E-4</v>
      </c>
      <c r="H67">
        <v>1.148892E-2</v>
      </c>
      <c r="I67">
        <v>5.6589999999999999E-5</v>
      </c>
      <c r="J67">
        <v>1.2700999999999999E-4</v>
      </c>
      <c r="K67">
        <v>9.4775999999999997E-4</v>
      </c>
      <c r="L67">
        <v>1.3639100000000001E-3</v>
      </c>
      <c r="M67">
        <v>2.0602622899999998</v>
      </c>
      <c r="N67">
        <v>1.41821E-3</v>
      </c>
      <c r="O67">
        <v>2.9065710000000002E-2</v>
      </c>
      <c r="P67">
        <v>4.9888099999999998E-3</v>
      </c>
      <c r="Q67">
        <v>1.9028199999999999E-3</v>
      </c>
      <c r="R67">
        <v>1.7089000000000001E-4</v>
      </c>
      <c r="S67">
        <v>3.0910389999999999E-2</v>
      </c>
      <c r="T67">
        <v>3.2587140000000001E-2</v>
      </c>
      <c r="U67">
        <v>7.0625899999999997E-3</v>
      </c>
      <c r="V67">
        <v>7.5902999999999995E-4</v>
      </c>
      <c r="W67">
        <v>3.7068600000000002E-3</v>
      </c>
      <c r="X67">
        <v>0</v>
      </c>
      <c r="Y67">
        <v>0</v>
      </c>
      <c r="Z67">
        <v>0</v>
      </c>
      <c r="AA67">
        <v>0</v>
      </c>
      <c r="AB67">
        <v>0</v>
      </c>
      <c r="AC67">
        <v>8.6233359999999995E-2</v>
      </c>
      <c r="AD67">
        <v>4.773819E-2</v>
      </c>
      <c r="AE67">
        <v>1.9793999999999999E-4</v>
      </c>
      <c r="AF67">
        <v>0</v>
      </c>
      <c r="AG67">
        <v>0</v>
      </c>
      <c r="AH67">
        <v>8.5589999999999999E-5</v>
      </c>
      <c r="AI67">
        <v>3.4123899999999999E-2</v>
      </c>
      <c r="AJ67">
        <v>0</v>
      </c>
      <c r="AK67">
        <v>0.21933538</v>
      </c>
      <c r="AL67">
        <v>0</v>
      </c>
      <c r="AM67">
        <v>1E-8</v>
      </c>
      <c r="AN67">
        <v>0</v>
      </c>
      <c r="AO67">
        <v>0</v>
      </c>
      <c r="AP67">
        <v>0</v>
      </c>
      <c r="AQ67">
        <v>0</v>
      </c>
      <c r="AR67">
        <v>0.48908043000000001</v>
      </c>
      <c r="AS67">
        <v>1.6137000000000001E-4</v>
      </c>
      <c r="AT67" s="4">
        <v>0</v>
      </c>
      <c r="AU67">
        <v>0</v>
      </c>
      <c r="AV67">
        <v>0</v>
      </c>
      <c r="AW67">
        <v>0</v>
      </c>
      <c r="AX67">
        <v>0</v>
      </c>
      <c r="AY67" s="4">
        <v>0</v>
      </c>
    </row>
    <row r="68" spans="1:51" x14ac:dyDescent="0.25">
      <c r="A68" s="14"/>
      <c r="B68" s="11"/>
      <c r="C68" t="s">
        <v>23</v>
      </c>
      <c r="D68">
        <v>0</v>
      </c>
      <c r="E68">
        <v>6.3576586800000001</v>
      </c>
      <c r="F68">
        <v>10.964775380000001</v>
      </c>
      <c r="G68">
        <v>8.65287E-3</v>
      </c>
      <c r="H68">
        <v>0.13209162999999999</v>
      </c>
      <c r="I68">
        <v>1.747688E-2</v>
      </c>
      <c r="J68">
        <v>2.2677413899999999</v>
      </c>
      <c r="K68">
        <v>0.49811116999999999</v>
      </c>
      <c r="L68">
        <v>9.3790788000000003</v>
      </c>
      <c r="M68">
        <v>9.9875319000000005</v>
      </c>
      <c r="N68">
        <v>12.01303293</v>
      </c>
      <c r="O68">
        <v>5.6945229199999998</v>
      </c>
      <c r="P68">
        <v>2.0385464400000002</v>
      </c>
      <c r="Q68">
        <v>0.17227207</v>
      </c>
      <c r="R68">
        <v>4.076055E-2</v>
      </c>
      <c r="S68">
        <v>7.6331824499999996</v>
      </c>
      <c r="T68">
        <v>26.532127469999999</v>
      </c>
      <c r="U68">
        <v>1.62525224</v>
      </c>
      <c r="V68">
        <v>1.0348107600000001</v>
      </c>
      <c r="W68">
        <v>3.0920099999999999E-2</v>
      </c>
      <c r="X68">
        <v>0</v>
      </c>
      <c r="Y68">
        <v>0</v>
      </c>
      <c r="Z68">
        <v>0</v>
      </c>
      <c r="AA68">
        <v>0</v>
      </c>
      <c r="AB68">
        <v>0</v>
      </c>
      <c r="AC68">
        <v>11.747610679999999</v>
      </c>
      <c r="AD68">
        <v>8.7041153900000001</v>
      </c>
      <c r="AE68">
        <v>0.19288010999999999</v>
      </c>
      <c r="AF68">
        <v>7.0003799999999996E-3</v>
      </c>
      <c r="AG68">
        <v>0</v>
      </c>
      <c r="AH68">
        <v>1.044019E-2</v>
      </c>
      <c r="AI68">
        <v>2.63828218</v>
      </c>
      <c r="AJ68">
        <v>0</v>
      </c>
      <c r="AK68">
        <v>3.0632965799999998</v>
      </c>
      <c r="AL68">
        <v>0</v>
      </c>
      <c r="AM68">
        <v>1.23645E-2</v>
      </c>
      <c r="AN68">
        <v>0</v>
      </c>
      <c r="AO68">
        <v>0</v>
      </c>
      <c r="AP68">
        <v>0</v>
      </c>
      <c r="AQ68">
        <v>0</v>
      </c>
      <c r="AR68">
        <v>0.62701839000000004</v>
      </c>
      <c r="AS68">
        <v>1.247593E-2</v>
      </c>
      <c r="AT68" s="4">
        <v>55.488446840000002</v>
      </c>
      <c r="AU68">
        <v>0</v>
      </c>
      <c r="AV68">
        <v>55.488446840000002</v>
      </c>
      <c r="AW68">
        <v>0</v>
      </c>
      <c r="AX68">
        <v>0</v>
      </c>
      <c r="AY68" s="4">
        <v>0</v>
      </c>
    </row>
    <row r="69" spans="1:51" x14ac:dyDescent="0.25">
      <c r="A69" s="14"/>
      <c r="B69" s="11"/>
      <c r="C69" t="s">
        <v>24</v>
      </c>
      <c r="D69">
        <v>0</v>
      </c>
      <c r="E69">
        <v>6.1974500000000002E-3</v>
      </c>
      <c r="F69">
        <v>3.6997000000000001E-4</v>
      </c>
      <c r="G69">
        <v>4.2691500000000002E-3</v>
      </c>
      <c r="H69">
        <v>1.8808099999999999E-3</v>
      </c>
      <c r="I69">
        <v>1.4296999999999999E-4</v>
      </c>
      <c r="J69">
        <v>3.3108399999999998E-3</v>
      </c>
      <c r="K69">
        <v>8.9442369999999993E-2</v>
      </c>
      <c r="L69">
        <v>0.11076092999999999</v>
      </c>
      <c r="M69">
        <v>8.0615220000000001E-2</v>
      </c>
      <c r="N69">
        <v>6.7124000000000003E-4</v>
      </c>
      <c r="O69">
        <v>3.5713199999999998E-3</v>
      </c>
      <c r="P69">
        <v>2.0137390000000002E-2</v>
      </c>
      <c r="Q69">
        <v>4.2978999999999999E-4</v>
      </c>
      <c r="R69">
        <v>3.97446E-3</v>
      </c>
      <c r="S69">
        <v>0.17699509999999999</v>
      </c>
      <c r="T69">
        <v>25.39727495</v>
      </c>
      <c r="U69">
        <v>2.0183550000000001E-2</v>
      </c>
      <c r="V69">
        <v>5.5485100000000004E-3</v>
      </c>
      <c r="W69">
        <v>8.5213331100000005</v>
      </c>
      <c r="X69">
        <v>0</v>
      </c>
      <c r="Y69">
        <v>0</v>
      </c>
      <c r="Z69">
        <v>0</v>
      </c>
      <c r="AA69">
        <v>0</v>
      </c>
      <c r="AB69">
        <v>0</v>
      </c>
      <c r="AC69">
        <v>35.827738539999999</v>
      </c>
      <c r="AD69">
        <v>10.78752967</v>
      </c>
      <c r="AE69">
        <v>3.9609399999999996E-3</v>
      </c>
      <c r="AF69">
        <v>3.7837999999999999E-4</v>
      </c>
      <c r="AG69">
        <v>0</v>
      </c>
      <c r="AH69">
        <v>0.91482891</v>
      </c>
      <c r="AI69">
        <v>2.5800960700000002</v>
      </c>
      <c r="AJ69">
        <v>0</v>
      </c>
      <c r="AK69">
        <v>47.291552830000001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0.97893933</v>
      </c>
      <c r="AS69">
        <v>0.18062111</v>
      </c>
      <c r="AT69" s="4">
        <v>0</v>
      </c>
      <c r="AU69">
        <v>0</v>
      </c>
      <c r="AV69">
        <v>0</v>
      </c>
      <c r="AW69">
        <v>0</v>
      </c>
      <c r="AX69">
        <v>0</v>
      </c>
      <c r="AY69" s="4">
        <v>0</v>
      </c>
    </row>
    <row r="70" spans="1:51" x14ac:dyDescent="0.25">
      <c r="A70" s="14"/>
      <c r="B70" s="11"/>
      <c r="C70" t="s">
        <v>25</v>
      </c>
      <c r="D70">
        <v>0</v>
      </c>
      <c r="E70">
        <v>6.1021799999999996E-3</v>
      </c>
      <c r="F70">
        <v>3.0791999999999999E-4</v>
      </c>
      <c r="G70">
        <v>2.2157349999999999E-2</v>
      </c>
      <c r="H70">
        <v>0.25576114999999999</v>
      </c>
      <c r="I70">
        <v>1.80748E-3</v>
      </c>
      <c r="J70">
        <v>6.3373600000000002E-3</v>
      </c>
      <c r="K70">
        <v>0.83159430999999995</v>
      </c>
      <c r="L70">
        <v>3.2397967200000002</v>
      </c>
      <c r="M70">
        <v>0.61057289999999997</v>
      </c>
      <c r="N70">
        <v>1.718774E-2</v>
      </c>
      <c r="O70">
        <v>0.11099085</v>
      </c>
      <c r="P70">
        <v>0.39278848999999999</v>
      </c>
      <c r="Q70">
        <v>1.416857E-2</v>
      </c>
      <c r="R70">
        <v>2.5854269699999999</v>
      </c>
      <c r="S70">
        <v>6.9029800000000002E-2</v>
      </c>
      <c r="T70">
        <v>9.4745696699999993</v>
      </c>
      <c r="U70">
        <v>0.1530601</v>
      </c>
      <c r="V70">
        <v>8.0675520000000001E-2</v>
      </c>
      <c r="W70">
        <v>18.546868679999999</v>
      </c>
      <c r="X70">
        <v>0</v>
      </c>
      <c r="Y70">
        <v>0</v>
      </c>
      <c r="Z70">
        <v>0</v>
      </c>
      <c r="AA70">
        <v>0</v>
      </c>
      <c r="AB70">
        <v>0</v>
      </c>
      <c r="AC70">
        <v>237.85094895</v>
      </c>
      <c r="AD70">
        <v>11.13601162</v>
      </c>
      <c r="AE70">
        <v>4.7348700000000004E-3</v>
      </c>
      <c r="AF70">
        <v>1.06336E-3</v>
      </c>
      <c r="AG70">
        <v>0</v>
      </c>
      <c r="AH70">
        <v>0.26885805000000002</v>
      </c>
      <c r="AI70">
        <v>3.3229068499999999</v>
      </c>
      <c r="AJ70">
        <v>0</v>
      </c>
      <c r="AK70">
        <v>10.00954432</v>
      </c>
      <c r="AL70">
        <v>0</v>
      </c>
      <c r="AM70">
        <v>5.9999999999999995E-8</v>
      </c>
      <c r="AN70">
        <v>0</v>
      </c>
      <c r="AO70">
        <v>0</v>
      </c>
      <c r="AP70">
        <v>0</v>
      </c>
      <c r="AQ70">
        <v>0</v>
      </c>
      <c r="AR70">
        <v>0.69399816999999997</v>
      </c>
      <c r="AS70">
        <v>0.64841168000000005</v>
      </c>
      <c r="AT70" s="4">
        <v>0</v>
      </c>
      <c r="AU70">
        <v>0</v>
      </c>
      <c r="AV70">
        <v>120.01036408</v>
      </c>
      <c r="AW70">
        <v>120.01036408</v>
      </c>
      <c r="AX70">
        <v>0</v>
      </c>
      <c r="AY70" s="4">
        <v>0</v>
      </c>
    </row>
    <row r="71" spans="1:51" x14ac:dyDescent="0.25">
      <c r="A71" s="14"/>
      <c r="B71" s="11"/>
      <c r="C71" t="s">
        <v>26</v>
      </c>
      <c r="D71">
        <v>0</v>
      </c>
      <c r="E71">
        <v>1.5760860000000002E-2</v>
      </c>
      <c r="F71">
        <v>4.9650000000000001E-5</v>
      </c>
      <c r="G71">
        <v>13.72430112</v>
      </c>
      <c r="H71">
        <v>5.0258089999999998E-2</v>
      </c>
      <c r="I71">
        <v>3.04528E-3</v>
      </c>
      <c r="J71">
        <v>5.5930600000000004E-3</v>
      </c>
      <c r="K71">
        <v>4.9696049999999999E-2</v>
      </c>
      <c r="L71">
        <v>2.9052809999999998E-2</v>
      </c>
      <c r="M71">
        <v>0.42855937</v>
      </c>
      <c r="N71">
        <v>1.3585E-4</v>
      </c>
      <c r="O71">
        <v>7.9528639999999998E-2</v>
      </c>
      <c r="P71">
        <v>5.8384209999999999E-2</v>
      </c>
      <c r="Q71">
        <v>2.3547500000000001E-3</v>
      </c>
      <c r="R71">
        <v>4.0001300000000002E-3</v>
      </c>
      <c r="S71">
        <v>5.60846E-3</v>
      </c>
      <c r="T71">
        <v>1.4313327</v>
      </c>
      <c r="U71">
        <v>6.5609000000000002E-4</v>
      </c>
      <c r="V71">
        <v>9.7109390000000004E-2</v>
      </c>
      <c r="W71">
        <v>2.8228999999999998E-4</v>
      </c>
      <c r="X71">
        <v>0</v>
      </c>
      <c r="Y71">
        <v>0</v>
      </c>
      <c r="Z71">
        <v>0</v>
      </c>
      <c r="AA71">
        <v>0</v>
      </c>
      <c r="AB71">
        <v>0</v>
      </c>
      <c r="AC71">
        <v>1.9435692600000001</v>
      </c>
      <c r="AD71">
        <v>2.14006645</v>
      </c>
      <c r="AE71">
        <v>2.9612387600000001</v>
      </c>
      <c r="AF71">
        <v>4.1919E-4</v>
      </c>
      <c r="AG71">
        <v>0</v>
      </c>
      <c r="AH71">
        <v>3.3082689999999998E-2</v>
      </c>
      <c r="AI71">
        <v>8.0046839999999994E-2</v>
      </c>
      <c r="AJ71">
        <v>0</v>
      </c>
      <c r="AK71">
        <v>3.1551135000000001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0.69230236000000001</v>
      </c>
      <c r="AS71">
        <v>1.1775E-4</v>
      </c>
      <c r="AT71" s="4">
        <v>0</v>
      </c>
      <c r="AU71">
        <v>0</v>
      </c>
      <c r="AV71">
        <v>143.10961184999999</v>
      </c>
      <c r="AW71">
        <v>143.10961184999999</v>
      </c>
      <c r="AX71">
        <v>0</v>
      </c>
      <c r="AY71" s="4">
        <v>0</v>
      </c>
    </row>
    <row r="72" spans="1:51" x14ac:dyDescent="0.25">
      <c r="A72" s="14"/>
      <c r="B72" s="11"/>
      <c r="C72" t="s">
        <v>27</v>
      </c>
      <c r="D72">
        <v>0</v>
      </c>
      <c r="E72">
        <v>1.5338910000000001E-2</v>
      </c>
      <c r="F72">
        <v>1.166202E-2</v>
      </c>
      <c r="G72">
        <v>7.2554768300000001</v>
      </c>
      <c r="H72">
        <v>3.88077E-3</v>
      </c>
      <c r="I72">
        <v>1.0229799999999999E-3</v>
      </c>
      <c r="J72">
        <v>1.585307E-2</v>
      </c>
      <c r="K72">
        <v>0.22161486999999999</v>
      </c>
      <c r="L72">
        <v>0.17703144000000001</v>
      </c>
      <c r="M72">
        <v>13.836823450000001</v>
      </c>
      <c r="N72">
        <v>2.556056E-2</v>
      </c>
      <c r="O72">
        <v>0.12480392</v>
      </c>
      <c r="P72">
        <v>3.3727479999999997E-2</v>
      </c>
      <c r="Q72">
        <v>0.12403761000000001</v>
      </c>
      <c r="R72">
        <v>2.9662239999999999E-2</v>
      </c>
      <c r="S72">
        <v>2.3310800000000001E-3</v>
      </c>
      <c r="T72">
        <v>1.2543739999999999E-2</v>
      </c>
      <c r="U72">
        <v>2.8594749999999999E-2</v>
      </c>
      <c r="V72">
        <v>2.7439379999999999E-2</v>
      </c>
      <c r="W72">
        <v>0.31115914</v>
      </c>
      <c r="X72">
        <v>0</v>
      </c>
      <c r="Y72">
        <v>0</v>
      </c>
      <c r="Z72">
        <v>0</v>
      </c>
      <c r="AA72">
        <v>0</v>
      </c>
      <c r="AB72">
        <v>0</v>
      </c>
      <c r="AC72">
        <v>2.1174398499999998</v>
      </c>
      <c r="AD72">
        <v>0.66840147000000005</v>
      </c>
      <c r="AE72">
        <v>129.55199346000001</v>
      </c>
      <c r="AF72">
        <v>4.99301E-3</v>
      </c>
      <c r="AG72">
        <v>0</v>
      </c>
      <c r="AH72">
        <v>4.95839E-3</v>
      </c>
      <c r="AI72">
        <v>0.21505827</v>
      </c>
      <c r="AJ72">
        <v>0</v>
      </c>
      <c r="AK72">
        <v>0.65888548000000002</v>
      </c>
      <c r="AL72">
        <v>0</v>
      </c>
      <c r="AM72">
        <v>1.9910000000000001E-5</v>
      </c>
      <c r="AN72">
        <v>0</v>
      </c>
      <c r="AO72">
        <v>0</v>
      </c>
      <c r="AP72">
        <v>0</v>
      </c>
      <c r="AQ72">
        <v>0</v>
      </c>
      <c r="AR72">
        <v>6.5887599999999999E-3</v>
      </c>
      <c r="AS72">
        <v>2.3896E-3</v>
      </c>
      <c r="AT72" s="4">
        <v>3.0894653000000001</v>
      </c>
      <c r="AU72">
        <v>66.248615650000005</v>
      </c>
      <c r="AV72">
        <v>236.77915952999999</v>
      </c>
      <c r="AW72">
        <v>167.25004970000001</v>
      </c>
      <c r="AX72">
        <v>0.19102888000000001</v>
      </c>
      <c r="AY72" s="4">
        <v>0</v>
      </c>
    </row>
    <row r="73" spans="1:51" x14ac:dyDescent="0.25">
      <c r="A73" s="14"/>
      <c r="B73" s="11"/>
      <c r="C73" t="s">
        <v>28</v>
      </c>
      <c r="D73">
        <v>0</v>
      </c>
      <c r="E73">
        <v>4.8347199999999998E-3</v>
      </c>
      <c r="F73">
        <v>1.47759E-3</v>
      </c>
      <c r="G73">
        <v>6.9735999999999995E-4</v>
      </c>
      <c r="H73">
        <v>8.7178399999999993E-3</v>
      </c>
      <c r="I73">
        <v>9.9361999999999996E-4</v>
      </c>
      <c r="J73">
        <v>0.14293126</v>
      </c>
      <c r="K73">
        <v>5.2624899999999999E-3</v>
      </c>
      <c r="L73">
        <v>2.3368259999999998E-2</v>
      </c>
      <c r="M73">
        <v>0.26205764999999998</v>
      </c>
      <c r="N73">
        <v>0.26470808000000001</v>
      </c>
      <c r="O73">
        <v>0.18870049</v>
      </c>
      <c r="P73">
        <v>0.13577322</v>
      </c>
      <c r="Q73">
        <v>6.2094160000000002E-2</v>
      </c>
      <c r="R73">
        <v>3.1414899999999998E-3</v>
      </c>
      <c r="S73">
        <v>4.2452940000000002E-2</v>
      </c>
      <c r="T73">
        <v>0.38951996</v>
      </c>
      <c r="U73">
        <v>5.3964659999999998E-2</v>
      </c>
      <c r="V73">
        <v>9.2405070000000006E-2</v>
      </c>
      <c r="W73">
        <v>4.6961759999999998E-2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0.38626278000000003</v>
      </c>
      <c r="AD73">
        <v>0.1663116</v>
      </c>
      <c r="AE73">
        <v>3.0993800000000001E-3</v>
      </c>
      <c r="AF73">
        <v>84.948493880000001</v>
      </c>
      <c r="AG73">
        <v>1E-8</v>
      </c>
      <c r="AH73">
        <v>1.6699799999999999E-3</v>
      </c>
      <c r="AI73">
        <v>0.13300037000000001</v>
      </c>
      <c r="AJ73">
        <v>0</v>
      </c>
      <c r="AK73">
        <v>0.61333451999999999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2.1732729999999999E-2</v>
      </c>
      <c r="AS73">
        <v>1.1555700000000001E-3</v>
      </c>
      <c r="AT73" s="4">
        <v>0</v>
      </c>
      <c r="AU73">
        <v>3.3709402100000001</v>
      </c>
      <c r="AV73">
        <v>4.7541962099999999</v>
      </c>
      <c r="AW73">
        <v>0</v>
      </c>
      <c r="AX73">
        <v>1.383256</v>
      </c>
      <c r="AY73" s="4">
        <v>0</v>
      </c>
    </row>
    <row r="74" spans="1:51" x14ac:dyDescent="0.25">
      <c r="A74" s="14"/>
      <c r="B74" s="11"/>
      <c r="C74" t="s">
        <v>29</v>
      </c>
      <c r="D74">
        <v>0</v>
      </c>
      <c r="E74">
        <v>9.0589000000000002E-4</v>
      </c>
      <c r="F74">
        <v>2.5099799999999999E-2</v>
      </c>
      <c r="G74">
        <v>2.8844E-4</v>
      </c>
      <c r="H74">
        <v>1.1237599999999999E-3</v>
      </c>
      <c r="I74">
        <v>1.7174000000000001E-4</v>
      </c>
      <c r="J74">
        <v>1.0815E-4</v>
      </c>
      <c r="K74">
        <v>1.21783E-3</v>
      </c>
      <c r="L74">
        <v>1.5671302499999999</v>
      </c>
      <c r="M74">
        <v>0.22212802000000001</v>
      </c>
      <c r="N74">
        <v>0.85900728000000004</v>
      </c>
      <c r="O74">
        <v>5.9552090000000002E-2</v>
      </c>
      <c r="P74">
        <v>0.65308073</v>
      </c>
      <c r="Q74">
        <v>0.29873491000000002</v>
      </c>
      <c r="R74">
        <v>3.323E-4</v>
      </c>
      <c r="S74">
        <v>0.1201039</v>
      </c>
      <c r="T74">
        <v>8.5144890000000001E-2</v>
      </c>
      <c r="U74">
        <v>0.13578821999999999</v>
      </c>
      <c r="V74">
        <v>3.391922E-2</v>
      </c>
      <c r="W74">
        <v>5.1055099999999997E-3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0.28254302999999997</v>
      </c>
      <c r="AD74">
        <v>8.2835720000000002E-2</v>
      </c>
      <c r="AE74">
        <v>3.5678000000000001E-4</v>
      </c>
      <c r="AF74">
        <v>5.2924000000000005E-4</v>
      </c>
      <c r="AG74">
        <v>1.2685605499999999</v>
      </c>
      <c r="AH74">
        <v>3.4239499999999998E-3</v>
      </c>
      <c r="AI74">
        <v>4.6152079999999998E-2</v>
      </c>
      <c r="AJ74">
        <v>0</v>
      </c>
      <c r="AK74">
        <v>0.14820700000000001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0.28189933</v>
      </c>
      <c r="AS74">
        <v>3.6539999999999999E-5</v>
      </c>
      <c r="AT74" s="4">
        <v>0</v>
      </c>
      <c r="AU74">
        <v>59.831784149999997</v>
      </c>
      <c r="AV74">
        <v>62.536456360000003</v>
      </c>
      <c r="AW74">
        <v>0</v>
      </c>
      <c r="AX74">
        <v>2.70467221</v>
      </c>
      <c r="AY74" s="4">
        <v>0</v>
      </c>
    </row>
    <row r="75" spans="1:51" x14ac:dyDescent="0.25">
      <c r="A75" s="14"/>
      <c r="B75" s="11"/>
      <c r="C75" t="s">
        <v>30</v>
      </c>
      <c r="D75">
        <v>0</v>
      </c>
      <c r="E75">
        <v>7.1044100000000002E-3</v>
      </c>
      <c r="F75">
        <v>6.7000000000000004E-7</v>
      </c>
      <c r="G75">
        <v>2.0065300000000001E-2</v>
      </c>
      <c r="H75">
        <v>6.1558699999999999E-3</v>
      </c>
      <c r="I75">
        <v>1.0558E-4</v>
      </c>
      <c r="J75">
        <v>9.9310999999999996E-4</v>
      </c>
      <c r="K75">
        <v>0.27841265999999998</v>
      </c>
      <c r="L75">
        <v>3.543429E-2</v>
      </c>
      <c r="M75">
        <v>8.9472479999999993E-2</v>
      </c>
      <c r="N75">
        <v>1.3883999999999999E-4</v>
      </c>
      <c r="O75">
        <v>6.9048910000000005E-2</v>
      </c>
      <c r="P75">
        <v>6.0080969999999997E-2</v>
      </c>
      <c r="Q75">
        <v>4.4369999999999997E-5</v>
      </c>
      <c r="R75">
        <v>4.1854500000000003E-3</v>
      </c>
      <c r="S75">
        <v>0.25197831999999998</v>
      </c>
      <c r="T75">
        <v>213.26962710000001</v>
      </c>
      <c r="U75">
        <v>1.0311220699999999</v>
      </c>
      <c r="V75">
        <v>4.5561860000000003E-2</v>
      </c>
      <c r="W75">
        <v>0.61238766</v>
      </c>
      <c r="X75">
        <v>0</v>
      </c>
      <c r="Y75">
        <v>0</v>
      </c>
      <c r="Z75">
        <v>0</v>
      </c>
      <c r="AA75">
        <v>0</v>
      </c>
      <c r="AB75">
        <v>0</v>
      </c>
      <c r="AC75">
        <v>43.702395920000001</v>
      </c>
      <c r="AD75">
        <v>11.24259531</v>
      </c>
      <c r="AE75">
        <v>8.2375199999999999E-3</v>
      </c>
      <c r="AF75">
        <v>0</v>
      </c>
      <c r="AG75">
        <v>0</v>
      </c>
      <c r="AH75">
        <v>55.454445100000001</v>
      </c>
      <c r="AI75">
        <v>0.47524411999999999</v>
      </c>
      <c r="AJ75">
        <v>0</v>
      </c>
      <c r="AK75">
        <v>42.590518969999998</v>
      </c>
      <c r="AL75">
        <v>0</v>
      </c>
      <c r="AM75">
        <v>2.7700000000000002E-6</v>
      </c>
      <c r="AN75">
        <v>0</v>
      </c>
      <c r="AO75">
        <v>0</v>
      </c>
      <c r="AP75">
        <v>0</v>
      </c>
      <c r="AQ75">
        <v>0</v>
      </c>
      <c r="AR75">
        <v>1.3808417500000001</v>
      </c>
      <c r="AS75">
        <v>2.4628343199999998</v>
      </c>
      <c r="AT75" s="4">
        <v>242.32983579</v>
      </c>
      <c r="AU75">
        <v>0</v>
      </c>
      <c r="AV75">
        <v>250.2603215</v>
      </c>
      <c r="AW75">
        <v>7.9304857200000001</v>
      </c>
      <c r="AX75">
        <v>0</v>
      </c>
      <c r="AY75" s="4">
        <v>0</v>
      </c>
    </row>
    <row r="76" spans="1:51" x14ac:dyDescent="0.25">
      <c r="A76" s="14"/>
      <c r="B76" s="11"/>
      <c r="C76" t="s">
        <v>31</v>
      </c>
      <c r="D76">
        <v>0</v>
      </c>
      <c r="E76">
        <v>4.0911899999999998E-3</v>
      </c>
      <c r="F76">
        <v>6.2700000000000001E-6</v>
      </c>
      <c r="G76">
        <v>3.0577500000000001E-3</v>
      </c>
      <c r="H76">
        <v>1.0081700000000001E-3</v>
      </c>
      <c r="I76">
        <v>1.14521E-3</v>
      </c>
      <c r="J76">
        <v>9.3179999999999999E-4</v>
      </c>
      <c r="K76">
        <v>0.24401001999999999</v>
      </c>
      <c r="L76">
        <v>0.11697340000000001</v>
      </c>
      <c r="M76">
        <v>4.91107E-3</v>
      </c>
      <c r="N76">
        <v>8.1999999999999998E-7</v>
      </c>
      <c r="O76">
        <v>3.858E-4</v>
      </c>
      <c r="P76">
        <v>1.095583E-2</v>
      </c>
      <c r="Q76">
        <v>1.92242E-3</v>
      </c>
      <c r="R76">
        <v>3.8321499999999999E-3</v>
      </c>
      <c r="S76">
        <v>1.6384800000000001E-3</v>
      </c>
      <c r="T76">
        <v>7.4502292499999996</v>
      </c>
      <c r="U76">
        <v>2.831E-4</v>
      </c>
      <c r="V76">
        <v>4.3921300000000002E-3</v>
      </c>
      <c r="W76">
        <v>7.18258E-3</v>
      </c>
      <c r="X76">
        <v>0</v>
      </c>
      <c r="Y76">
        <v>0</v>
      </c>
      <c r="Z76">
        <v>0</v>
      </c>
      <c r="AA76">
        <v>0</v>
      </c>
      <c r="AB76">
        <v>0</v>
      </c>
      <c r="AC76">
        <v>25.241363459999999</v>
      </c>
      <c r="AD76">
        <v>19.775214089999999</v>
      </c>
      <c r="AE76">
        <v>5.2969799999999997E-3</v>
      </c>
      <c r="AF76">
        <v>1.4291E-4</v>
      </c>
      <c r="AG76">
        <v>0</v>
      </c>
      <c r="AH76">
        <v>1.29412156</v>
      </c>
      <c r="AI76">
        <v>24.48854081</v>
      </c>
      <c r="AJ76">
        <v>0</v>
      </c>
      <c r="AK76">
        <v>4.15936197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0.89966005999999998</v>
      </c>
      <c r="AS76">
        <v>0.21322028000000001</v>
      </c>
      <c r="AT76" s="4">
        <v>0</v>
      </c>
      <c r="AU76">
        <v>0</v>
      </c>
      <c r="AV76">
        <v>42.354318849999999</v>
      </c>
      <c r="AW76">
        <v>42.354318849999999</v>
      </c>
      <c r="AX76">
        <v>0</v>
      </c>
      <c r="AY76" s="4">
        <v>0</v>
      </c>
    </row>
    <row r="77" spans="1:51" x14ac:dyDescent="0.25">
      <c r="A77" s="14"/>
      <c r="B77" s="11"/>
      <c r="C77" t="s">
        <v>32</v>
      </c>
      <c r="D77">
        <v>0</v>
      </c>
      <c r="E77">
        <v>6.6277470000000005E-2</v>
      </c>
      <c r="F77">
        <v>9.14564E-3</v>
      </c>
      <c r="G77">
        <v>3.7349800000000002E-3</v>
      </c>
      <c r="H77">
        <v>2.30591E-3</v>
      </c>
      <c r="I77">
        <v>1.9900000000000001E-4</v>
      </c>
      <c r="J77">
        <v>3.0731000000000001E-3</v>
      </c>
      <c r="K77">
        <v>5.0034870000000002E-2</v>
      </c>
      <c r="L77">
        <v>4.90009E-2</v>
      </c>
      <c r="M77">
        <v>5.5897059999999998E-2</v>
      </c>
      <c r="N77">
        <v>1.1854669999999999E-2</v>
      </c>
      <c r="O77">
        <v>3.083837E-2</v>
      </c>
      <c r="P77">
        <v>4.9422600000000004E-3</v>
      </c>
      <c r="Q77">
        <v>1.88408E-3</v>
      </c>
      <c r="R77">
        <v>1.74558E-3</v>
      </c>
      <c r="S77">
        <v>0.28401151000000002</v>
      </c>
      <c r="T77">
        <v>0.34316208999999998</v>
      </c>
      <c r="U77">
        <v>1.5871399999999999E-3</v>
      </c>
      <c r="V77">
        <v>4.5010127400000002</v>
      </c>
      <c r="W77">
        <v>4.3169599999999999E-3</v>
      </c>
      <c r="X77">
        <v>0</v>
      </c>
      <c r="Y77">
        <v>0</v>
      </c>
      <c r="Z77">
        <v>0</v>
      </c>
      <c r="AA77">
        <v>0</v>
      </c>
      <c r="AB77">
        <v>0</v>
      </c>
      <c r="AC77">
        <v>1.0019975400000001</v>
      </c>
      <c r="AD77">
        <v>0.69468299</v>
      </c>
      <c r="AE77">
        <v>1.4676710000000001E-2</v>
      </c>
      <c r="AF77">
        <v>5.2570999999999998E-4</v>
      </c>
      <c r="AG77">
        <v>0</v>
      </c>
      <c r="AH77">
        <v>9.3809099999999992E-3</v>
      </c>
      <c r="AI77">
        <v>1.11043084</v>
      </c>
      <c r="AJ77">
        <v>0</v>
      </c>
      <c r="AK77">
        <v>4.1337392800000003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0.12448819</v>
      </c>
      <c r="AS77">
        <v>3.3420999999999999E-4</v>
      </c>
      <c r="AT77" s="4">
        <v>0</v>
      </c>
      <c r="AU77">
        <v>0</v>
      </c>
      <c r="AV77">
        <v>0</v>
      </c>
      <c r="AW77">
        <v>0</v>
      </c>
      <c r="AX77">
        <v>0</v>
      </c>
      <c r="AY77" s="4">
        <v>0</v>
      </c>
    </row>
    <row r="78" spans="1:51" x14ac:dyDescent="0.25">
      <c r="A78" s="14"/>
      <c r="B78" s="11"/>
      <c r="C78" t="s">
        <v>33</v>
      </c>
      <c r="D78">
        <v>0</v>
      </c>
      <c r="E78">
        <v>1.115649E-2</v>
      </c>
      <c r="F78">
        <v>1.579E-5</v>
      </c>
      <c r="G78">
        <v>0.80174802000000001</v>
      </c>
      <c r="H78">
        <v>6.4533119999999999E-2</v>
      </c>
      <c r="I78">
        <v>1.2578000000000001E-3</v>
      </c>
      <c r="J78">
        <v>1.9979899999999998E-3</v>
      </c>
      <c r="K78">
        <v>1.6041399300000001</v>
      </c>
      <c r="L78">
        <v>0.66362776000000001</v>
      </c>
      <c r="M78">
        <v>0.29452256999999998</v>
      </c>
      <c r="N78">
        <v>2.3415E-4</v>
      </c>
      <c r="O78">
        <v>0.31467141999999998</v>
      </c>
      <c r="P78">
        <v>3.5026719999999997E-2</v>
      </c>
      <c r="Q78">
        <v>4.5880909999999997E-2</v>
      </c>
      <c r="R78">
        <v>0.32190458999999999</v>
      </c>
      <c r="S78">
        <v>2.2963359999999999E-2</v>
      </c>
      <c r="T78">
        <v>258.26308714999999</v>
      </c>
      <c r="U78">
        <v>0.16750602000000001</v>
      </c>
      <c r="V78">
        <v>0.95049905000000001</v>
      </c>
      <c r="W78">
        <v>0.75179132000000004</v>
      </c>
      <c r="X78">
        <v>0</v>
      </c>
      <c r="Y78">
        <v>0</v>
      </c>
      <c r="Z78">
        <v>0</v>
      </c>
      <c r="AA78">
        <v>0</v>
      </c>
      <c r="AB78">
        <v>0</v>
      </c>
      <c r="AC78">
        <v>87.943383440000005</v>
      </c>
      <c r="AD78">
        <v>43.076414010000001</v>
      </c>
      <c r="AE78">
        <v>7.8409039999999999E-2</v>
      </c>
      <c r="AF78">
        <v>1.4500000000000001E-6</v>
      </c>
      <c r="AG78">
        <v>0</v>
      </c>
      <c r="AH78">
        <v>1.84659259</v>
      </c>
      <c r="AI78">
        <v>8.9111364200000001</v>
      </c>
      <c r="AJ78">
        <v>0</v>
      </c>
      <c r="AK78">
        <v>82.038912420000003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3.0997643300000002</v>
      </c>
      <c r="AS78">
        <v>0.36771662999999999</v>
      </c>
      <c r="AT78" s="4">
        <v>0</v>
      </c>
      <c r="AU78">
        <v>0</v>
      </c>
      <c r="AV78">
        <v>10.974567670000001</v>
      </c>
      <c r="AW78">
        <v>10.974567670000001</v>
      </c>
      <c r="AX78">
        <v>0</v>
      </c>
      <c r="AY78" s="4">
        <v>0</v>
      </c>
    </row>
    <row r="79" spans="1:51" x14ac:dyDescent="0.25">
      <c r="A79" s="14"/>
      <c r="B79" s="11"/>
      <c r="C79" t="s">
        <v>34</v>
      </c>
      <c r="D79">
        <v>2.5473E-4</v>
      </c>
      <c r="E79">
        <v>0.31532428000000001</v>
      </c>
      <c r="F79">
        <v>7.3906999999999998E-4</v>
      </c>
      <c r="G79">
        <v>8.829E-3</v>
      </c>
      <c r="H79">
        <v>3.2224699999999998E-3</v>
      </c>
      <c r="I79">
        <v>2.2293000000000001E-4</v>
      </c>
      <c r="J79">
        <v>1.0564E-4</v>
      </c>
      <c r="K79">
        <v>1.401372E-2</v>
      </c>
      <c r="L79">
        <v>0.14555193999999999</v>
      </c>
      <c r="M79">
        <v>4.4431579000000001</v>
      </c>
      <c r="N79">
        <v>3.5387999999999999E-3</v>
      </c>
      <c r="O79">
        <v>0.33463975000000001</v>
      </c>
      <c r="P79">
        <v>0.13931690999999999</v>
      </c>
      <c r="Q79">
        <v>1.05708E-3</v>
      </c>
      <c r="R79">
        <v>8.9181399999999997E-3</v>
      </c>
      <c r="S79">
        <v>1.7227070000000001E-2</v>
      </c>
      <c r="T79">
        <v>2.5157028800000001</v>
      </c>
      <c r="U79">
        <v>0.73928846999999998</v>
      </c>
      <c r="V79">
        <v>5.4505500000000002E-3</v>
      </c>
      <c r="W79">
        <v>8.0959799999999991E-3</v>
      </c>
      <c r="X79">
        <v>0</v>
      </c>
      <c r="Y79">
        <v>0</v>
      </c>
      <c r="Z79">
        <v>0</v>
      </c>
      <c r="AA79">
        <v>0</v>
      </c>
      <c r="AB79">
        <v>0</v>
      </c>
      <c r="AC79">
        <v>1.2718288900000001</v>
      </c>
      <c r="AD79">
        <v>0.43282300000000001</v>
      </c>
      <c r="AE79">
        <v>8.3310799999999994E-3</v>
      </c>
      <c r="AF79">
        <v>1.9459600000000001E-3</v>
      </c>
      <c r="AG79">
        <v>0</v>
      </c>
      <c r="AH79">
        <v>4.4838410000000002E-2</v>
      </c>
      <c r="AI79">
        <v>4.3755540000000002E-2</v>
      </c>
      <c r="AJ79">
        <v>0</v>
      </c>
      <c r="AK79">
        <v>1.5141492599999999</v>
      </c>
      <c r="AL79">
        <v>0</v>
      </c>
      <c r="AM79">
        <v>4.9459999999999997E-5</v>
      </c>
      <c r="AN79">
        <v>0</v>
      </c>
      <c r="AO79">
        <v>0</v>
      </c>
      <c r="AP79">
        <v>0</v>
      </c>
      <c r="AQ79">
        <v>0</v>
      </c>
      <c r="AR79">
        <v>0.12521826999999999</v>
      </c>
      <c r="AS79">
        <v>4.1211020000000001E-2</v>
      </c>
      <c r="AT79" s="4">
        <v>312.58898531</v>
      </c>
      <c r="AU79">
        <v>0</v>
      </c>
      <c r="AV79">
        <v>312.58898531</v>
      </c>
      <c r="AW79">
        <v>0</v>
      </c>
      <c r="AX79">
        <v>0</v>
      </c>
      <c r="AY79" s="4">
        <v>0</v>
      </c>
    </row>
    <row r="80" spans="1:51" x14ac:dyDescent="0.25">
      <c r="A80" s="14"/>
      <c r="B80" s="11"/>
      <c r="C80" t="s">
        <v>35</v>
      </c>
      <c r="D80">
        <v>0</v>
      </c>
      <c r="E80">
        <v>2.0608580000000001E-2</v>
      </c>
      <c r="F80">
        <v>7.6420000000000004E-5</v>
      </c>
      <c r="G80">
        <v>2.2662899999999998E-3</v>
      </c>
      <c r="H80">
        <v>5.5230719999999997E-2</v>
      </c>
      <c r="I80">
        <v>1.0262100000000001E-3</v>
      </c>
      <c r="J80">
        <v>7.3978409999999994E-2</v>
      </c>
      <c r="K80">
        <v>0.42305279000000001</v>
      </c>
      <c r="L80">
        <v>0.39298851000000001</v>
      </c>
      <c r="M80">
        <v>0.96855157999999997</v>
      </c>
      <c r="N80">
        <v>2.142554E-2</v>
      </c>
      <c r="O80">
        <v>0.38046516000000002</v>
      </c>
      <c r="P80">
        <v>5.5574099999999996E-3</v>
      </c>
      <c r="Q80">
        <v>5.636066E-2</v>
      </c>
      <c r="R80">
        <v>4.2486040000000003E-2</v>
      </c>
      <c r="S80">
        <v>0.13482838</v>
      </c>
      <c r="T80">
        <v>108.62577372</v>
      </c>
      <c r="U80">
        <v>33.276575639999997</v>
      </c>
      <c r="V80">
        <v>2.1322894099999998</v>
      </c>
      <c r="W80">
        <v>0.54747559000000001</v>
      </c>
      <c r="X80">
        <v>0</v>
      </c>
      <c r="Y80">
        <v>0</v>
      </c>
      <c r="Z80">
        <v>0</v>
      </c>
      <c r="AA80">
        <v>0</v>
      </c>
      <c r="AB80">
        <v>0</v>
      </c>
      <c r="AC80">
        <v>35.907619769999997</v>
      </c>
      <c r="AD80">
        <v>17.84964089</v>
      </c>
      <c r="AE80">
        <v>9.11322E-3</v>
      </c>
      <c r="AF80">
        <v>1.41205E-3</v>
      </c>
      <c r="AG80">
        <v>0</v>
      </c>
      <c r="AH80">
        <v>0.46337314000000002</v>
      </c>
      <c r="AI80">
        <v>1.60043727</v>
      </c>
      <c r="AJ80">
        <v>0</v>
      </c>
      <c r="AK80">
        <v>18.870481810000001</v>
      </c>
      <c r="AL80">
        <v>0</v>
      </c>
      <c r="AM80">
        <v>2.5126100000000002E-3</v>
      </c>
      <c r="AN80">
        <v>0</v>
      </c>
      <c r="AO80">
        <v>0</v>
      </c>
      <c r="AP80">
        <v>0</v>
      </c>
      <c r="AQ80">
        <v>0</v>
      </c>
      <c r="AR80">
        <v>0.50431619999999999</v>
      </c>
      <c r="AS80">
        <v>0.11949438</v>
      </c>
      <c r="AT80" s="4">
        <v>0</v>
      </c>
      <c r="AU80">
        <v>0</v>
      </c>
      <c r="AV80">
        <v>0</v>
      </c>
      <c r="AW80">
        <v>0</v>
      </c>
      <c r="AX80">
        <v>0</v>
      </c>
      <c r="AY80" s="4">
        <v>0</v>
      </c>
    </row>
    <row r="81" spans="1:51" x14ac:dyDescent="0.25">
      <c r="A81" s="14"/>
      <c r="B81" s="11"/>
      <c r="C81" t="s">
        <v>36</v>
      </c>
      <c r="D81">
        <v>0</v>
      </c>
      <c r="E81">
        <v>1.298583E-2</v>
      </c>
      <c r="F81">
        <v>7.0049999999999995E-5</v>
      </c>
      <c r="G81">
        <v>2.513176E-2</v>
      </c>
      <c r="H81">
        <v>1.6826000000000001E-2</v>
      </c>
      <c r="I81">
        <v>2.366E-4</v>
      </c>
      <c r="J81">
        <v>9.4010699999999992E-3</v>
      </c>
      <c r="K81">
        <v>4.9378399999999998E-3</v>
      </c>
      <c r="L81">
        <v>4.1713640000000003E-2</v>
      </c>
      <c r="M81">
        <v>1.5397819100000001</v>
      </c>
      <c r="N81">
        <v>2.89025E-3</v>
      </c>
      <c r="O81">
        <v>0.12124714</v>
      </c>
      <c r="P81">
        <v>6.9232399999999998E-3</v>
      </c>
      <c r="Q81">
        <v>6.9474799999999998E-3</v>
      </c>
      <c r="R81">
        <v>1.523246E-2</v>
      </c>
      <c r="S81">
        <v>1.3053199999999999E-2</v>
      </c>
      <c r="T81">
        <v>1.29037877</v>
      </c>
      <c r="U81">
        <v>1.2246439899999999</v>
      </c>
      <c r="V81">
        <v>0.27282497999999999</v>
      </c>
      <c r="W81">
        <v>2.2879000000000001E-4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0.80784833</v>
      </c>
      <c r="AD81">
        <v>0.49710586000000001</v>
      </c>
      <c r="AE81">
        <v>6.0729659999999998E-2</v>
      </c>
      <c r="AF81">
        <v>6.7984999999999996E-4</v>
      </c>
      <c r="AG81">
        <v>0</v>
      </c>
      <c r="AH81">
        <v>6.1450999999999997E-4</v>
      </c>
      <c r="AI81">
        <v>0.97767872</v>
      </c>
      <c r="AJ81">
        <v>0</v>
      </c>
      <c r="AK81">
        <v>0.3808183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8.2335549999999993E-2</v>
      </c>
      <c r="AS81">
        <v>0</v>
      </c>
      <c r="AT81" s="4">
        <v>0</v>
      </c>
      <c r="AU81">
        <v>0</v>
      </c>
      <c r="AV81">
        <v>41.469064400000001</v>
      </c>
      <c r="AW81">
        <v>41.469064400000001</v>
      </c>
      <c r="AX81">
        <v>0</v>
      </c>
      <c r="AY81" s="4">
        <v>0</v>
      </c>
    </row>
    <row r="82" spans="1:51" x14ac:dyDescent="0.25">
      <c r="A82" s="14"/>
      <c r="B82" s="11"/>
      <c r="C82" t="s">
        <v>37</v>
      </c>
      <c r="D82">
        <v>0</v>
      </c>
      <c r="E82">
        <v>4.4132199999999998E-3</v>
      </c>
      <c r="F82">
        <v>4.905E-5</v>
      </c>
      <c r="G82">
        <v>0.15037545999999999</v>
      </c>
      <c r="H82">
        <v>4.6324299999999999E-2</v>
      </c>
      <c r="I82">
        <v>1.6174900000000001E-3</v>
      </c>
      <c r="J82">
        <v>6.7929599999999998E-3</v>
      </c>
      <c r="K82">
        <v>0.36061377</v>
      </c>
      <c r="L82">
        <v>0.39945977999999999</v>
      </c>
      <c r="M82">
        <v>4.0712797900000002</v>
      </c>
      <c r="N82">
        <v>2.2182700000000001E-3</v>
      </c>
      <c r="O82">
        <v>0.28555488000000001</v>
      </c>
      <c r="P82">
        <v>4.0385212800000003</v>
      </c>
      <c r="Q82">
        <v>2.9119999999999998E-4</v>
      </c>
      <c r="R82">
        <v>5.8351310999999999</v>
      </c>
      <c r="S82">
        <v>5.90973814</v>
      </c>
      <c r="T82">
        <v>12.292390129999999</v>
      </c>
      <c r="U82">
        <v>1.8666073599999999</v>
      </c>
      <c r="V82">
        <v>2.5614957299999999</v>
      </c>
      <c r="W82">
        <v>5.5451460000000001E-2</v>
      </c>
      <c r="X82">
        <v>0</v>
      </c>
      <c r="Y82">
        <v>0</v>
      </c>
      <c r="Z82">
        <v>0</v>
      </c>
      <c r="AA82">
        <v>0</v>
      </c>
      <c r="AB82">
        <v>0</v>
      </c>
      <c r="AC82">
        <v>17.212918349999999</v>
      </c>
      <c r="AD82">
        <v>2.7716518200000002</v>
      </c>
      <c r="AE82">
        <v>3.4229540000000003E-2</v>
      </c>
      <c r="AF82">
        <v>2.7142899999999998E-3</v>
      </c>
      <c r="AG82">
        <v>0</v>
      </c>
      <c r="AH82">
        <v>2.4260100000000001E-3</v>
      </c>
      <c r="AI82">
        <v>0.13505590000000001</v>
      </c>
      <c r="AJ82">
        <v>0</v>
      </c>
      <c r="AK82">
        <v>3.20862684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0.66564394999999998</v>
      </c>
      <c r="AS82">
        <v>0.12063901</v>
      </c>
      <c r="AT82" s="4">
        <v>0</v>
      </c>
      <c r="AU82">
        <v>0</v>
      </c>
      <c r="AV82">
        <v>18.02414598</v>
      </c>
      <c r="AW82">
        <v>18.02414598</v>
      </c>
      <c r="AX82">
        <v>0</v>
      </c>
      <c r="AY82" s="4">
        <v>0</v>
      </c>
    </row>
    <row r="83" spans="1:51" x14ac:dyDescent="0.25">
      <c r="A83" s="14"/>
      <c r="B83" s="11"/>
      <c r="C83" t="s">
        <v>38</v>
      </c>
      <c r="D83">
        <v>0</v>
      </c>
      <c r="E83">
        <v>2.4348849999999998E-2</v>
      </c>
      <c r="F83">
        <v>7.4328999999999997E-4</v>
      </c>
      <c r="G83">
        <v>0.35409797999999998</v>
      </c>
      <c r="H83">
        <v>4.4396610000000003E-2</v>
      </c>
      <c r="I83">
        <v>4.0571999999999998E-4</v>
      </c>
      <c r="J83">
        <v>1.6937199999999999E-3</v>
      </c>
      <c r="K83">
        <v>0.33941375000000001</v>
      </c>
      <c r="L83">
        <v>8.5845229999999995E-2</v>
      </c>
      <c r="M83">
        <v>0.11927877000000001</v>
      </c>
      <c r="N83">
        <v>1.1244499999999999E-3</v>
      </c>
      <c r="O83">
        <v>5.122985E-2</v>
      </c>
      <c r="P83">
        <v>1.980724E-2</v>
      </c>
      <c r="Q83">
        <v>1.5286E-4</v>
      </c>
      <c r="R83">
        <v>1.73638E-3</v>
      </c>
      <c r="S83">
        <v>6.7369999999999995E-4</v>
      </c>
      <c r="T83">
        <v>13.229512039999999</v>
      </c>
      <c r="U83">
        <v>7.43793624</v>
      </c>
      <c r="V83">
        <v>1.201265E-2</v>
      </c>
      <c r="W83">
        <v>2.5517399999999998E-3</v>
      </c>
      <c r="X83">
        <v>0</v>
      </c>
      <c r="Y83">
        <v>0</v>
      </c>
      <c r="Z83">
        <v>0</v>
      </c>
      <c r="AA83">
        <v>0</v>
      </c>
      <c r="AB83">
        <v>0</v>
      </c>
      <c r="AC83">
        <v>34.512019000000002</v>
      </c>
      <c r="AD83">
        <v>5.9935920300000003</v>
      </c>
      <c r="AE83">
        <v>1.859953E-2</v>
      </c>
      <c r="AF83">
        <v>5.0425799999999996E-3</v>
      </c>
      <c r="AG83">
        <v>0</v>
      </c>
      <c r="AH83">
        <v>3.3977130000000001E-2</v>
      </c>
      <c r="AI83">
        <v>8.0679039999999994E-2</v>
      </c>
      <c r="AJ83">
        <v>0</v>
      </c>
      <c r="AK83">
        <v>2.1601416699999998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0.36976310000000001</v>
      </c>
      <c r="AS83">
        <v>5.516861E-2</v>
      </c>
      <c r="AT83" s="4">
        <v>0</v>
      </c>
      <c r="AU83">
        <v>0</v>
      </c>
      <c r="AV83">
        <v>41.350661369999997</v>
      </c>
      <c r="AW83">
        <v>41.350661369999997</v>
      </c>
      <c r="AX83">
        <v>0</v>
      </c>
      <c r="AY83" s="4">
        <v>0</v>
      </c>
    </row>
    <row r="84" spans="1:51" x14ac:dyDescent="0.25">
      <c r="A84" s="14"/>
      <c r="B84" s="11"/>
      <c r="C84" t="s">
        <v>39</v>
      </c>
      <c r="D84">
        <v>0</v>
      </c>
      <c r="E84">
        <v>3.87419E-3</v>
      </c>
      <c r="F84">
        <v>8.8300000000000002E-6</v>
      </c>
      <c r="G84">
        <v>0.60155692000000005</v>
      </c>
      <c r="H84">
        <v>0.13986414</v>
      </c>
      <c r="I84">
        <v>8.2083000000000004E-4</v>
      </c>
      <c r="J84">
        <v>3.02155E-3</v>
      </c>
      <c r="K84">
        <v>3.8198099999999999E-2</v>
      </c>
      <c r="L84">
        <v>7.9700499999999994E-3</v>
      </c>
      <c r="M84">
        <v>124.74166305999999</v>
      </c>
      <c r="N84">
        <v>1.5569999999999998E-5</v>
      </c>
      <c r="O84">
        <v>4.0626429999999998E-2</v>
      </c>
      <c r="P84">
        <v>2.1319099999999999E-3</v>
      </c>
      <c r="Q84">
        <v>20.866369649999999</v>
      </c>
      <c r="R84">
        <v>7.1384999999999999E-3</v>
      </c>
      <c r="S84">
        <v>1.2835579999999999E-2</v>
      </c>
      <c r="T84">
        <v>6.9084583999999998</v>
      </c>
      <c r="U84">
        <v>2.5463666300000001</v>
      </c>
      <c r="V84">
        <v>7.9585649999999994E-2</v>
      </c>
      <c r="W84">
        <v>2.7637680000000001E-2</v>
      </c>
      <c r="X84">
        <v>0</v>
      </c>
      <c r="Y84">
        <v>0</v>
      </c>
      <c r="Z84">
        <v>0</v>
      </c>
      <c r="AA84">
        <v>0</v>
      </c>
      <c r="AB84">
        <v>0</v>
      </c>
      <c r="AC84">
        <v>5.7453619399999996</v>
      </c>
      <c r="AD84">
        <v>1.4865189000000001</v>
      </c>
      <c r="AE84">
        <v>8.5882500000000004E-3</v>
      </c>
      <c r="AF84">
        <v>2.99315E-3</v>
      </c>
      <c r="AG84">
        <v>0</v>
      </c>
      <c r="AH84">
        <v>8.5360499999999999E-3</v>
      </c>
      <c r="AI84">
        <v>1.801299E-2</v>
      </c>
      <c r="AJ84">
        <v>0</v>
      </c>
      <c r="AK84">
        <v>0.59143835</v>
      </c>
      <c r="AL84">
        <v>0</v>
      </c>
      <c r="AM84">
        <v>8.0000000000000002E-8</v>
      </c>
      <c r="AN84">
        <v>0</v>
      </c>
      <c r="AO84">
        <v>0</v>
      </c>
      <c r="AP84">
        <v>0</v>
      </c>
      <c r="AQ84">
        <v>0</v>
      </c>
      <c r="AR84">
        <v>1.0782976200000001</v>
      </c>
      <c r="AS84">
        <v>6.4621899999999996E-3</v>
      </c>
      <c r="AT84" s="4">
        <v>0</v>
      </c>
      <c r="AU84">
        <v>0</v>
      </c>
      <c r="AV84">
        <v>18.028495979999999</v>
      </c>
      <c r="AW84">
        <v>18.028495979999999</v>
      </c>
      <c r="AX84">
        <v>0</v>
      </c>
      <c r="AY84" s="4">
        <v>0</v>
      </c>
    </row>
    <row r="85" spans="1:51" x14ac:dyDescent="0.25">
      <c r="A85" s="14"/>
      <c r="B85" s="11"/>
      <c r="C85" t="s">
        <v>40</v>
      </c>
      <c r="D85">
        <v>0</v>
      </c>
      <c r="E85">
        <v>1.0074999999999999E-3</v>
      </c>
      <c r="F85">
        <v>3.3519999999999998E-5</v>
      </c>
      <c r="G85">
        <v>0.10334982</v>
      </c>
      <c r="H85">
        <v>1.155896E-2</v>
      </c>
      <c r="I85">
        <v>1.344592E-2</v>
      </c>
      <c r="J85">
        <v>4.71069E-3</v>
      </c>
      <c r="K85">
        <v>2.7762469400000001</v>
      </c>
      <c r="L85">
        <v>1.6358459999999998E-2</v>
      </c>
      <c r="M85">
        <v>0.79658534000000003</v>
      </c>
      <c r="N85">
        <v>5.6360000000000002E-5</v>
      </c>
      <c r="O85">
        <v>0.11907157</v>
      </c>
      <c r="P85">
        <v>1.304253E-2</v>
      </c>
      <c r="Q85">
        <v>8.5140000000000001E-5</v>
      </c>
      <c r="R85">
        <v>1.0381500000000001E-3</v>
      </c>
      <c r="S85">
        <v>2.5929099999999999E-3</v>
      </c>
      <c r="T85">
        <v>4.6367617000000001</v>
      </c>
      <c r="U85">
        <v>0.35428525999999999</v>
      </c>
      <c r="V85">
        <v>0.17362089</v>
      </c>
      <c r="W85">
        <v>4.6723900000000002E-3</v>
      </c>
      <c r="X85">
        <v>0</v>
      </c>
      <c r="Y85">
        <v>0</v>
      </c>
      <c r="Z85">
        <v>0</v>
      </c>
      <c r="AA85">
        <v>0</v>
      </c>
      <c r="AB85">
        <v>0</v>
      </c>
      <c r="AC85">
        <v>8.2650970200000007</v>
      </c>
      <c r="AD85">
        <v>6.0135768399999998</v>
      </c>
      <c r="AE85">
        <v>1.5110480000000001E-2</v>
      </c>
      <c r="AF85">
        <v>3.4546000000000002E-4</v>
      </c>
      <c r="AG85">
        <v>0</v>
      </c>
      <c r="AH85">
        <v>9.4117889999999996E-2</v>
      </c>
      <c r="AI85">
        <v>8.2763390000000006E-2</v>
      </c>
      <c r="AJ85">
        <v>0</v>
      </c>
      <c r="AK85">
        <v>7.3621903199999998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18.969174559999999</v>
      </c>
      <c r="AS85">
        <v>1.0505270000000001E-2</v>
      </c>
      <c r="AT85" s="4">
        <v>3.9900866700000002</v>
      </c>
      <c r="AU85">
        <v>0</v>
      </c>
      <c r="AV85">
        <v>58.7852666</v>
      </c>
      <c r="AW85">
        <v>54.779719129999997</v>
      </c>
      <c r="AX85">
        <v>1.546081E-2</v>
      </c>
      <c r="AY85" s="4">
        <v>0</v>
      </c>
    </row>
    <row r="86" spans="1:51" x14ac:dyDescent="0.25">
      <c r="A86" s="14"/>
      <c r="B86" s="11"/>
      <c r="C86" s="5" t="s">
        <v>41</v>
      </c>
      <c r="D86" s="3">
        <v>0</v>
      </c>
      <c r="E86" s="3">
        <v>3.80782E-3</v>
      </c>
      <c r="F86" s="3">
        <v>4.6529999999999997E-5</v>
      </c>
      <c r="G86" s="3">
        <v>3.0544600000000002E-3</v>
      </c>
      <c r="H86" s="3">
        <v>2.5812849999999998E-2</v>
      </c>
      <c r="I86" s="3">
        <v>6.4215670000000002E-2</v>
      </c>
      <c r="J86" s="3">
        <v>4.332656E-2</v>
      </c>
      <c r="K86" s="3">
        <v>0.31887504</v>
      </c>
      <c r="L86" s="3">
        <v>0.14327417000000001</v>
      </c>
      <c r="M86" s="3">
        <v>4.8438179999999997E-2</v>
      </c>
      <c r="N86" s="3">
        <v>7.7000000000000008E-6</v>
      </c>
      <c r="O86" s="3">
        <v>4.0727489999999998E-2</v>
      </c>
      <c r="P86" s="3">
        <v>1.9662760000000001E-2</v>
      </c>
      <c r="Q86" s="3">
        <v>1.7862240000000001E-2</v>
      </c>
      <c r="R86" s="3">
        <v>2.4000540000000001E-2</v>
      </c>
      <c r="S86" s="3">
        <v>1.430851E-2</v>
      </c>
      <c r="T86" s="3">
        <v>7.1366873100000001</v>
      </c>
      <c r="U86" s="3">
        <v>0.67005912000000001</v>
      </c>
      <c r="V86" s="3">
        <v>0.66755211000000003</v>
      </c>
      <c r="W86" s="3">
        <v>1.2092439999999999E-2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83.405115390000006</v>
      </c>
      <c r="AD86" s="3">
        <v>66.106729979999997</v>
      </c>
      <c r="AE86" s="3">
        <v>9.7861100000000006E-3</v>
      </c>
      <c r="AF86" s="3">
        <v>4.3314800000000004E-3</v>
      </c>
      <c r="AG86" s="3">
        <v>0</v>
      </c>
      <c r="AH86" s="3">
        <v>2.385292E-2</v>
      </c>
      <c r="AI86" s="3">
        <v>0.52506960000000003</v>
      </c>
      <c r="AJ86" s="3">
        <v>0</v>
      </c>
      <c r="AK86" s="3">
        <v>8.8328065500000008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6.8141537100000003</v>
      </c>
      <c r="AS86" s="3">
        <v>16.263458539999998</v>
      </c>
      <c r="AT86" s="5">
        <v>0</v>
      </c>
      <c r="AU86" s="3">
        <v>0</v>
      </c>
      <c r="AV86" s="3">
        <v>0</v>
      </c>
      <c r="AW86" s="3">
        <v>0</v>
      </c>
      <c r="AX86" s="3">
        <v>0</v>
      </c>
      <c r="AY86" s="5">
        <v>0</v>
      </c>
    </row>
    <row r="87" spans="1:51" ht="15" customHeight="1" x14ac:dyDescent="0.25">
      <c r="A87" s="15" t="s">
        <v>51</v>
      </c>
      <c r="B87" s="16"/>
      <c r="C87" t="s">
        <v>46</v>
      </c>
      <c r="D87">
        <v>149.84804671000001</v>
      </c>
      <c r="E87">
        <v>751.70122602000004</v>
      </c>
      <c r="F87">
        <v>127.33216444999999</v>
      </c>
      <c r="G87">
        <v>1188.5063756</v>
      </c>
      <c r="H87">
        <v>449.80529819999998</v>
      </c>
      <c r="I87">
        <v>736.86149840999997</v>
      </c>
      <c r="J87">
        <v>449.48071047000002</v>
      </c>
      <c r="K87">
        <v>594.32847532000005</v>
      </c>
      <c r="L87">
        <v>162.9668533</v>
      </c>
      <c r="M87">
        <v>1600.7600890799999</v>
      </c>
      <c r="N87">
        <v>703.25791908999997</v>
      </c>
      <c r="O87">
        <v>846.53075182999999</v>
      </c>
      <c r="P87">
        <v>979.30706813999996</v>
      </c>
      <c r="Q87">
        <v>738.65714704000004</v>
      </c>
      <c r="R87">
        <v>1088.6817469499999</v>
      </c>
      <c r="S87">
        <v>882.17304688000002</v>
      </c>
      <c r="T87">
        <v>1335.79247291</v>
      </c>
      <c r="U87">
        <v>188.52840320999999</v>
      </c>
      <c r="V87">
        <v>199.61910549999999</v>
      </c>
      <c r="W87">
        <v>132.81081682999999</v>
      </c>
      <c r="X87">
        <v>861.52812009000002</v>
      </c>
      <c r="Y87">
        <v>72.224230660000003</v>
      </c>
      <c r="Z87">
        <v>125.46410971</v>
      </c>
      <c r="AA87">
        <v>5728.6744371100003</v>
      </c>
      <c r="AB87">
        <v>6843.7453057599996</v>
      </c>
      <c r="AC87">
        <v>2585.7498966799999</v>
      </c>
      <c r="AD87">
        <v>1710.40125395</v>
      </c>
      <c r="AE87">
        <v>9321.3153886100008</v>
      </c>
      <c r="AF87">
        <v>750.50695686999995</v>
      </c>
      <c r="AG87">
        <v>210.15362923999999</v>
      </c>
      <c r="AH87">
        <v>2423.4377975000002</v>
      </c>
      <c r="AI87">
        <v>2369.05898832</v>
      </c>
      <c r="AJ87">
        <v>1172.0835774</v>
      </c>
      <c r="AK87">
        <v>3572.8443986299999</v>
      </c>
      <c r="AL87">
        <v>1180.6289781200001</v>
      </c>
      <c r="AM87">
        <v>1228.42387121</v>
      </c>
      <c r="AN87">
        <v>441.50796192000001</v>
      </c>
      <c r="AO87">
        <v>2182.3467607100001</v>
      </c>
      <c r="AP87">
        <v>3898.9102081199999</v>
      </c>
      <c r="AQ87">
        <v>2463.9875038199998</v>
      </c>
      <c r="AR87">
        <v>700.72754134000002</v>
      </c>
      <c r="AS87">
        <v>5572.3383718599998</v>
      </c>
    </row>
    <row r="88" spans="1:51" x14ac:dyDescent="0.25">
      <c r="A88" s="15"/>
      <c r="B88" s="16"/>
      <c r="C88" t="s">
        <v>47</v>
      </c>
      <c r="D88">
        <v>309.65753561999998</v>
      </c>
      <c r="E88">
        <v>192.74220217000001</v>
      </c>
      <c r="F88">
        <v>68.084000110000005</v>
      </c>
      <c r="G88">
        <v>1225.2056592500001</v>
      </c>
      <c r="H88">
        <v>-3.3095313800000001</v>
      </c>
      <c r="I88">
        <v>-27.854798580000001</v>
      </c>
      <c r="J88">
        <v>53.360242450000001</v>
      </c>
      <c r="K88">
        <v>69.135135270000006</v>
      </c>
      <c r="L88">
        <v>731.47550951999995</v>
      </c>
      <c r="M88">
        <v>516.33310280000001</v>
      </c>
      <c r="N88">
        <v>334.96932464999998</v>
      </c>
      <c r="O88">
        <v>73.030453919999999</v>
      </c>
      <c r="P88">
        <v>133.16552325000001</v>
      </c>
      <c r="Q88">
        <v>133.25793375000001</v>
      </c>
      <c r="R88">
        <v>397.32828928999999</v>
      </c>
      <c r="S88">
        <v>33.931725479999997</v>
      </c>
      <c r="T88">
        <v>-13.19994488</v>
      </c>
      <c r="U88">
        <v>69.962213980000001</v>
      </c>
      <c r="V88">
        <v>93.206923860000003</v>
      </c>
      <c r="W88">
        <v>13.954688089999999</v>
      </c>
      <c r="X88">
        <v>305.02483912000002</v>
      </c>
      <c r="Y88">
        <v>26.1251614</v>
      </c>
      <c r="Z88">
        <v>30.994153099999998</v>
      </c>
      <c r="AA88">
        <v>857.64131255999996</v>
      </c>
      <c r="AB88">
        <v>1469.01641387</v>
      </c>
      <c r="AC88">
        <v>206.90792719000001</v>
      </c>
      <c r="AD88">
        <v>39.436660719999999</v>
      </c>
      <c r="AE88">
        <v>-428.08349238</v>
      </c>
      <c r="AF88">
        <v>427.39306728000003</v>
      </c>
      <c r="AG88">
        <v>595.29312757000002</v>
      </c>
      <c r="AH88">
        <v>311.04406446000002</v>
      </c>
      <c r="AI88">
        <v>970.67711872999996</v>
      </c>
      <c r="AJ88">
        <v>712.61748079999995</v>
      </c>
      <c r="AK88">
        <v>343.77085225000002</v>
      </c>
      <c r="AL88">
        <v>26.60998691</v>
      </c>
      <c r="AM88">
        <v>143.39036791000001</v>
      </c>
      <c r="AN88">
        <v>34.27248419</v>
      </c>
      <c r="AO88">
        <v>56.634388039999997</v>
      </c>
      <c r="AP88">
        <v>18.989720640000002</v>
      </c>
      <c r="AQ88">
        <v>10.17871025</v>
      </c>
      <c r="AR88">
        <v>42.267688130000003</v>
      </c>
      <c r="AS88">
        <v>14.086233249999999</v>
      </c>
    </row>
    <row r="89" spans="1:51" x14ac:dyDescent="0.25">
      <c r="A89" s="15"/>
      <c r="B89" s="16"/>
      <c r="C89" t="s">
        <v>48</v>
      </c>
      <c r="D89">
        <v>59.432288110000002</v>
      </c>
      <c r="E89">
        <v>321.38087086000002</v>
      </c>
      <c r="F89">
        <v>34.957831839999997</v>
      </c>
      <c r="G89">
        <v>354.14416548999998</v>
      </c>
      <c r="H89">
        <v>120.24670847</v>
      </c>
      <c r="I89">
        <v>74.340524090000002</v>
      </c>
      <c r="J89">
        <v>114.12375858999999</v>
      </c>
      <c r="K89">
        <v>163.93799586</v>
      </c>
      <c r="L89">
        <v>197.04850164999999</v>
      </c>
      <c r="M89">
        <v>767.14055625000003</v>
      </c>
      <c r="N89">
        <v>548.66315349000001</v>
      </c>
      <c r="O89">
        <v>227.3211221</v>
      </c>
      <c r="P89">
        <v>198.09279669</v>
      </c>
      <c r="Q89">
        <v>118.15528208000001</v>
      </c>
      <c r="R89">
        <v>409.34342022999999</v>
      </c>
      <c r="S89">
        <v>277.09930771000001</v>
      </c>
      <c r="T89">
        <v>564.79951372999994</v>
      </c>
      <c r="U89">
        <v>28.673362919999999</v>
      </c>
      <c r="V89">
        <v>89.540406790000006</v>
      </c>
      <c r="W89">
        <v>13.2357858</v>
      </c>
      <c r="X89">
        <v>1311.5152794200001</v>
      </c>
      <c r="Y89">
        <v>43.861957140000001</v>
      </c>
      <c r="Z89">
        <v>103.88478126</v>
      </c>
      <c r="AA89">
        <v>185.83697794</v>
      </c>
      <c r="AB89">
        <v>443.98052503999997</v>
      </c>
      <c r="AC89">
        <v>1786.76812307</v>
      </c>
      <c r="AD89">
        <v>190.32063088000001</v>
      </c>
      <c r="AE89">
        <v>327.90465330000001</v>
      </c>
      <c r="AF89">
        <v>165.08740822999999</v>
      </c>
      <c r="AG89">
        <v>208.80335457000001</v>
      </c>
      <c r="AH89">
        <v>867.79885065999997</v>
      </c>
      <c r="AI89">
        <v>330.14368088999998</v>
      </c>
      <c r="AJ89">
        <v>4113.5815388800002</v>
      </c>
      <c r="AK89">
        <v>845.06300567000005</v>
      </c>
      <c r="AL89">
        <v>1000.7138108300001</v>
      </c>
      <c r="AM89">
        <v>222.53715252999999</v>
      </c>
      <c r="AN89">
        <v>179.69614834999999</v>
      </c>
      <c r="AO89">
        <v>150.35568377999999</v>
      </c>
      <c r="AP89">
        <v>623.73484206000001</v>
      </c>
      <c r="AQ89">
        <v>807.80738222000002</v>
      </c>
      <c r="AR89">
        <v>249.89427108999999</v>
      </c>
      <c r="AS89">
        <v>695.29692029</v>
      </c>
    </row>
    <row r="90" spans="1:51" x14ac:dyDescent="0.25">
      <c r="A90" s="15"/>
      <c r="B90" s="16"/>
      <c r="C90" t="s">
        <v>49</v>
      </c>
      <c r="D90">
        <v>131.14951679000001</v>
      </c>
      <c r="E90">
        <v>574.56677523999997</v>
      </c>
      <c r="F90">
        <v>96.303536210000004</v>
      </c>
      <c r="G90">
        <v>821.39552794999997</v>
      </c>
      <c r="H90">
        <v>163.10835356000001</v>
      </c>
      <c r="I90">
        <v>352.71897590999998</v>
      </c>
      <c r="J90">
        <v>198.70232075999999</v>
      </c>
      <c r="K90">
        <v>395.44829907000002</v>
      </c>
      <c r="L90">
        <v>84.127160930000002</v>
      </c>
      <c r="M90">
        <v>1446.04723788</v>
      </c>
      <c r="N90">
        <v>552.70897208999997</v>
      </c>
      <c r="O90">
        <v>462.73586060000002</v>
      </c>
      <c r="P90">
        <v>575.57149077999998</v>
      </c>
      <c r="Q90">
        <v>494.01629209999999</v>
      </c>
      <c r="R90">
        <v>768.06202081000004</v>
      </c>
      <c r="S90">
        <v>930.09145607000005</v>
      </c>
      <c r="T90">
        <v>957.29991387999996</v>
      </c>
      <c r="U90">
        <v>145.02167544</v>
      </c>
      <c r="V90">
        <v>674.30102323999995</v>
      </c>
      <c r="W90">
        <v>38.095653220000003</v>
      </c>
      <c r="X90">
        <v>285.07359528000001</v>
      </c>
      <c r="Y90">
        <v>108.0926214</v>
      </c>
      <c r="Z90">
        <v>38.102528720000002</v>
      </c>
      <c r="AA90">
        <v>2520.30511007</v>
      </c>
      <c r="AB90">
        <v>3215.3122254999998</v>
      </c>
      <c r="AC90">
        <v>1217.27548628</v>
      </c>
      <c r="AD90">
        <v>422.50781430000001</v>
      </c>
      <c r="AE90">
        <v>302.14960363</v>
      </c>
      <c r="AF90">
        <v>664.20635883</v>
      </c>
      <c r="AG90">
        <v>298.44267108999998</v>
      </c>
      <c r="AH90">
        <v>2241.1225173399998</v>
      </c>
      <c r="AI90">
        <v>5722.8087276799997</v>
      </c>
      <c r="AJ90">
        <v>2333.8751779200002</v>
      </c>
      <c r="AK90">
        <v>492.80968199</v>
      </c>
      <c r="AL90">
        <v>214.40564968000001</v>
      </c>
      <c r="AM90">
        <v>749.17994581000005</v>
      </c>
      <c r="AN90">
        <v>93.529969339999994</v>
      </c>
      <c r="AO90">
        <v>341.44290998000002</v>
      </c>
      <c r="AP90">
        <v>56.432107690000002</v>
      </c>
      <c r="AQ90">
        <v>-37.322050699999998</v>
      </c>
      <c r="AR90">
        <v>43.693202380000002</v>
      </c>
      <c r="AS90">
        <v>33.604728860000002</v>
      </c>
    </row>
    <row r="91" spans="1:51" x14ac:dyDescent="0.25">
      <c r="A91" s="15"/>
      <c r="B91" s="16"/>
      <c r="C91" t="s">
        <v>50</v>
      </c>
      <c r="D91">
        <v>650.08738722999999</v>
      </c>
      <c r="E91">
        <v>1840.39107429</v>
      </c>
      <c r="F91">
        <v>326.67753261000001</v>
      </c>
      <c r="G91">
        <v>3589.2517282899998</v>
      </c>
      <c r="H91">
        <v>729.85082884999997</v>
      </c>
      <c r="I91">
        <v>1136.0661998400001</v>
      </c>
      <c r="J91">
        <v>815.66703227000005</v>
      </c>
      <c r="K91">
        <v>1222.84990552</v>
      </c>
      <c r="L91">
        <v>1175.6180254000001</v>
      </c>
      <c r="M91">
        <v>4330.2809860099997</v>
      </c>
      <c r="N91">
        <v>2139.5993693199998</v>
      </c>
      <c r="O91">
        <v>1609.6181884499999</v>
      </c>
      <c r="P91">
        <v>1886.13687886</v>
      </c>
      <c r="Q91">
        <v>1484.0866549699999</v>
      </c>
      <c r="R91">
        <v>2663.4154772900001</v>
      </c>
      <c r="S91">
        <v>2123.29553614</v>
      </c>
      <c r="T91">
        <v>2844.6919556500002</v>
      </c>
      <c r="U91">
        <v>432.18565555999999</v>
      </c>
      <c r="V91">
        <v>1056.66745939</v>
      </c>
      <c r="W91">
        <v>198.09694393999999</v>
      </c>
      <c r="X91">
        <v>2763.1418339100001</v>
      </c>
      <c r="Y91">
        <v>250.30397060000001</v>
      </c>
      <c r="Z91">
        <v>298.44557279000003</v>
      </c>
      <c r="AA91">
        <v>9292.45783768</v>
      </c>
      <c r="AB91">
        <v>11972.054470180001</v>
      </c>
      <c r="AC91">
        <v>5796.7014332099998</v>
      </c>
      <c r="AD91">
        <v>2362.6663598499999</v>
      </c>
      <c r="AE91">
        <v>9523.2861531599992</v>
      </c>
      <c r="AF91">
        <v>2007.19379121</v>
      </c>
      <c r="AG91">
        <v>1312.69278248</v>
      </c>
      <c r="AH91">
        <v>5843.4032299700002</v>
      </c>
      <c r="AI91">
        <v>9392.6885156299995</v>
      </c>
      <c r="AJ91">
        <v>8332.1577749999997</v>
      </c>
      <c r="AK91">
        <v>5254.48793854</v>
      </c>
      <c r="AL91">
        <v>2422.35842555</v>
      </c>
      <c r="AM91">
        <v>2343.5313374500001</v>
      </c>
      <c r="AN91">
        <v>749.00656380999999</v>
      </c>
      <c r="AO91">
        <v>2730.7797425099998</v>
      </c>
      <c r="AP91">
        <v>4598.0668784999998</v>
      </c>
      <c r="AQ91">
        <v>3244.6515456000002</v>
      </c>
      <c r="AR91">
        <v>1036.58270294</v>
      </c>
      <c r="AS91">
        <v>6315.3262542499997</v>
      </c>
    </row>
    <row r="92" spans="1:51" ht="23.25" x14ac:dyDescent="0.35">
      <c r="A92" s="8" t="s">
        <v>52</v>
      </c>
      <c r="B92" s="8"/>
      <c r="C92" s="8"/>
    </row>
  </sheetData>
  <mergeCells count="7">
    <mergeCell ref="A92:C92"/>
    <mergeCell ref="AT1:AX1"/>
    <mergeCell ref="B2:B44"/>
    <mergeCell ref="C1:AS1"/>
    <mergeCell ref="B45:B86"/>
    <mergeCell ref="A2:A86"/>
    <mergeCell ref="A87:B9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1FF15-7F53-4C62-919E-FCC32AC2DD57}">
  <dimension ref="A1:CT102"/>
  <sheetViews>
    <sheetView topLeftCell="BA43" zoomScale="60" zoomScaleNormal="60" workbookViewId="0">
      <selection activeCell="BB1" sqref="BB1:CT86"/>
    </sheetView>
  </sheetViews>
  <sheetFormatPr defaultRowHeight="15" x14ac:dyDescent="0.25"/>
  <cols>
    <col min="55" max="55" width="38.42578125" customWidth="1"/>
  </cols>
  <sheetData>
    <row r="1" spans="1:98" ht="49.5" x14ac:dyDescent="0.75">
      <c r="C1" s="13" t="s">
        <v>43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9" t="s">
        <v>55</v>
      </c>
      <c r="AU1" s="10"/>
      <c r="AV1" s="10"/>
      <c r="AW1" s="10"/>
      <c r="AX1" s="10"/>
      <c r="AY1" s="7" t="s">
        <v>59</v>
      </c>
      <c r="BC1" s="7" t="s">
        <v>60</v>
      </c>
    </row>
    <row r="2" spans="1:98" x14ac:dyDescent="0.25">
      <c r="A2" s="14" t="s">
        <v>45</v>
      </c>
      <c r="B2" s="11" t="s">
        <v>42</v>
      </c>
      <c r="C2" s="1"/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2" t="s">
        <v>41</v>
      </c>
      <c r="AT2" s="6" t="s">
        <v>53</v>
      </c>
      <c r="AU2" s="1" t="s">
        <v>54</v>
      </c>
      <c r="AV2" s="1" t="s">
        <v>55</v>
      </c>
      <c r="AW2" s="1" t="s">
        <v>56</v>
      </c>
      <c r="AX2" s="1" t="s">
        <v>57</v>
      </c>
      <c r="AY2" s="4" t="s">
        <v>58</v>
      </c>
      <c r="BB2" s="18" t="s">
        <v>62</v>
      </c>
      <c r="BE2" s="1" t="s">
        <v>0</v>
      </c>
      <c r="BF2" s="1" t="s">
        <v>1</v>
      </c>
      <c r="BG2" s="1" t="s">
        <v>2</v>
      </c>
      <c r="BH2" s="1" t="s">
        <v>3</v>
      </c>
      <c r="BI2" s="1" t="s">
        <v>4</v>
      </c>
      <c r="BJ2" s="1" t="s">
        <v>5</v>
      </c>
      <c r="BK2" s="1" t="s">
        <v>6</v>
      </c>
      <c r="BL2" s="1" t="s">
        <v>7</v>
      </c>
      <c r="BM2" s="1" t="s">
        <v>8</v>
      </c>
      <c r="BN2" s="1" t="s">
        <v>9</v>
      </c>
      <c r="BO2" s="1" t="s">
        <v>10</v>
      </c>
      <c r="BP2" s="1" t="s">
        <v>11</v>
      </c>
      <c r="BQ2" s="1" t="s">
        <v>12</v>
      </c>
      <c r="BR2" s="1" t="s">
        <v>13</v>
      </c>
      <c r="BS2" s="1" t="s">
        <v>14</v>
      </c>
      <c r="BT2" s="1" t="s">
        <v>15</v>
      </c>
      <c r="BU2" s="1" t="s">
        <v>16</v>
      </c>
      <c r="BV2" s="1" t="s">
        <v>17</v>
      </c>
      <c r="BW2" s="1" t="s">
        <v>18</v>
      </c>
      <c r="BX2" s="1" t="s">
        <v>19</v>
      </c>
      <c r="BY2" s="1" t="s">
        <v>20</v>
      </c>
      <c r="BZ2" s="1" t="s">
        <v>21</v>
      </c>
      <c r="CA2" s="1" t="s">
        <v>22</v>
      </c>
      <c r="CB2" s="1" t="s">
        <v>23</v>
      </c>
      <c r="CC2" s="1" t="s">
        <v>24</v>
      </c>
      <c r="CD2" s="1" t="s">
        <v>25</v>
      </c>
      <c r="CE2" s="1" t="s">
        <v>26</v>
      </c>
      <c r="CF2" s="1" t="s">
        <v>27</v>
      </c>
      <c r="CG2" s="1" t="s">
        <v>28</v>
      </c>
      <c r="CH2" s="1" t="s">
        <v>29</v>
      </c>
      <c r="CI2" s="1" t="s">
        <v>30</v>
      </c>
      <c r="CJ2" s="1" t="s">
        <v>31</v>
      </c>
      <c r="CK2" s="1" t="s">
        <v>32</v>
      </c>
      <c r="CL2" s="1" t="s">
        <v>33</v>
      </c>
      <c r="CM2" s="1" t="s">
        <v>34</v>
      </c>
      <c r="CN2" s="1" t="s">
        <v>35</v>
      </c>
      <c r="CO2" s="1" t="s">
        <v>36</v>
      </c>
      <c r="CP2" s="1" t="s">
        <v>37</v>
      </c>
      <c r="CQ2" s="1" t="s">
        <v>38</v>
      </c>
      <c r="CR2" s="1" t="s">
        <v>39</v>
      </c>
      <c r="CS2" s="1" t="s">
        <v>40</v>
      </c>
      <c r="CT2" s="2" t="s">
        <v>41</v>
      </c>
    </row>
    <row r="3" spans="1:98" x14ac:dyDescent="0.25">
      <c r="A3" s="14"/>
      <c r="B3" s="11"/>
      <c r="C3" s="1" t="s">
        <v>0</v>
      </c>
      <c r="D3" s="1">
        <v>49.086973280000002</v>
      </c>
      <c r="E3" s="1">
        <v>2.34059215</v>
      </c>
      <c r="F3" s="1">
        <v>11.51333786</v>
      </c>
      <c r="G3" s="1">
        <v>5.2808198500000003</v>
      </c>
      <c r="H3" s="1">
        <v>0.32563088000000001</v>
      </c>
      <c r="I3" s="1">
        <v>0.43406527</v>
      </c>
      <c r="J3" s="1">
        <v>0.24146725999999999</v>
      </c>
      <c r="K3" s="1">
        <v>2.0390827300000001</v>
      </c>
      <c r="L3" s="1">
        <v>48.42744604</v>
      </c>
      <c r="M3" s="1">
        <v>41.566952929999999</v>
      </c>
      <c r="N3" s="1">
        <v>5.2802265799999999</v>
      </c>
      <c r="O3" s="1">
        <v>16.563548749999999</v>
      </c>
      <c r="P3" s="1">
        <v>7.2035329299999997</v>
      </c>
      <c r="Q3" s="1">
        <v>15.83267264</v>
      </c>
      <c r="R3" s="1">
        <v>1.0592229399999999</v>
      </c>
      <c r="S3" s="1">
        <v>2.9848175000000001</v>
      </c>
      <c r="T3" s="1">
        <v>0.14616699</v>
      </c>
      <c r="U3" s="1">
        <v>0.13056815999999999</v>
      </c>
      <c r="V3" s="1">
        <v>0.55368065</v>
      </c>
      <c r="W3" s="1">
        <v>1.60504124</v>
      </c>
      <c r="X3" s="1">
        <v>64.095959379999996</v>
      </c>
      <c r="Y3" s="1">
        <v>1.3589454700000001</v>
      </c>
      <c r="Z3" s="1">
        <v>1.11113569</v>
      </c>
      <c r="AA3" s="1">
        <v>2.47967447</v>
      </c>
      <c r="AB3" s="1">
        <v>20.702505429999999</v>
      </c>
      <c r="AC3" s="1">
        <v>32.326498239999999</v>
      </c>
      <c r="AD3" s="1">
        <v>2.2833521999999999</v>
      </c>
      <c r="AE3" s="1">
        <v>1.2404245599999999</v>
      </c>
      <c r="AF3" s="1">
        <v>4.8157477100000001</v>
      </c>
      <c r="AG3" s="1">
        <v>0.12810978000000001</v>
      </c>
      <c r="AH3" s="1">
        <v>0.44766784999999998</v>
      </c>
      <c r="AI3" s="1">
        <v>32.146182119999999</v>
      </c>
      <c r="AJ3" s="1">
        <v>0.22702791999999999</v>
      </c>
      <c r="AK3" s="1">
        <v>32.915104509999999</v>
      </c>
      <c r="AL3" s="1">
        <v>0</v>
      </c>
      <c r="AM3" s="1">
        <v>7.7855169699999998</v>
      </c>
      <c r="AN3" s="1">
        <v>2.5761881199999999</v>
      </c>
      <c r="AO3" s="1">
        <v>2.38512784</v>
      </c>
      <c r="AP3" s="1">
        <v>2.5573130100000001</v>
      </c>
      <c r="AQ3" s="1">
        <v>0.69712010000000002</v>
      </c>
      <c r="AR3" s="1">
        <v>0.57526708000000004</v>
      </c>
      <c r="AS3" s="1">
        <v>0.20453621</v>
      </c>
      <c r="AT3" s="4">
        <v>0</v>
      </c>
      <c r="AU3" s="1">
        <v>-104.66135799</v>
      </c>
      <c r="AV3" s="1">
        <v>-101.5862205</v>
      </c>
      <c r="AW3" s="1">
        <v>0</v>
      </c>
      <c r="AX3" s="1">
        <v>3.07513748</v>
      </c>
      <c r="AY3" s="4">
        <v>1202.9960900399999</v>
      </c>
      <c r="BB3" s="18"/>
      <c r="BC3">
        <f>SUM(D3:AS3)+AV3</f>
        <v>324.08903078999992</v>
      </c>
      <c r="BD3" s="1" t="s">
        <v>0</v>
      </c>
      <c r="BE3">
        <f>D3/$BC3</f>
        <v>0.15146138442373541</v>
      </c>
      <c r="BF3">
        <f>E3/$BC3</f>
        <v>7.2220653204292939E-3</v>
      </c>
      <c r="BG3">
        <f t="shared" ref="BG3:CT4" si="0">F3/$BC3</f>
        <v>3.5525231544971052E-2</v>
      </c>
      <c r="BH3">
        <f t="shared" si="0"/>
        <v>1.6294349232146073E-2</v>
      </c>
      <c r="BI3">
        <f t="shared" si="0"/>
        <v>1.0047574865654715E-3</v>
      </c>
      <c r="BJ3">
        <f t="shared" si="0"/>
        <v>1.3393395911670378E-3</v>
      </c>
      <c r="BK3">
        <f t="shared" si="0"/>
        <v>7.4506458738019931E-4</v>
      </c>
      <c r="BL3">
        <f t="shared" si="0"/>
        <v>6.2917363325427243E-3</v>
      </c>
      <c r="BM3">
        <f t="shared" si="0"/>
        <v>0.14942636571794232</v>
      </c>
      <c r="BN3">
        <f t="shared" si="0"/>
        <v>0.12825782109525993</v>
      </c>
      <c r="BO3">
        <f t="shared" si="0"/>
        <v>1.6292518654916866E-2</v>
      </c>
      <c r="BP3">
        <f t="shared" si="0"/>
        <v>5.1108020254880787E-2</v>
      </c>
      <c r="BQ3">
        <f t="shared" si="0"/>
        <v>2.2227018644971279E-2</v>
      </c>
      <c r="BR3">
        <f t="shared" si="0"/>
        <v>4.8852849482150795E-2</v>
      </c>
      <c r="BS3">
        <f t="shared" si="0"/>
        <v>3.2683085182427696E-3</v>
      </c>
      <c r="BT3">
        <f t="shared" si="0"/>
        <v>9.2098689447285657E-3</v>
      </c>
      <c r="BU3">
        <f t="shared" si="0"/>
        <v>4.5100875411828385E-4</v>
      </c>
      <c r="BV3">
        <f t="shared" si="0"/>
        <v>4.0287744291044606E-4</v>
      </c>
      <c r="BW3">
        <f t="shared" si="0"/>
        <v>1.7084214441024036E-3</v>
      </c>
      <c r="BX3">
        <f t="shared" si="0"/>
        <v>4.952470116274991E-3</v>
      </c>
      <c r="BY3">
        <f t="shared" si="0"/>
        <v>0.19777268988018382</v>
      </c>
      <c r="BZ3">
        <f t="shared" si="0"/>
        <v>4.1931239285928085E-3</v>
      </c>
      <c r="CA3">
        <f t="shared" si="0"/>
        <v>3.428489039852703E-3</v>
      </c>
      <c r="CB3">
        <f t="shared" si="0"/>
        <v>7.6512138160169801E-3</v>
      </c>
      <c r="CC3">
        <f t="shared" si="0"/>
        <v>6.3879068598944988E-2</v>
      </c>
      <c r="CD3">
        <f t="shared" si="0"/>
        <v>9.9745733946011314E-2</v>
      </c>
      <c r="CE3">
        <f t="shared" si="0"/>
        <v>7.045447340300587E-3</v>
      </c>
      <c r="CF3">
        <f t="shared" si="0"/>
        <v>3.8274191415128707E-3</v>
      </c>
      <c r="CG3">
        <f t="shared" si="0"/>
        <v>1.4859335714822331E-2</v>
      </c>
      <c r="CH3">
        <f t="shared" si="0"/>
        <v>3.9529193471225918E-4</v>
      </c>
      <c r="CI3">
        <f t="shared" si="0"/>
        <v>1.3813113295095614E-3</v>
      </c>
      <c r="CJ3">
        <f t="shared" si="0"/>
        <v>9.9189355596640882E-2</v>
      </c>
      <c r="CK3">
        <f t="shared" si="0"/>
        <v>7.0051096591142376E-4</v>
      </c>
      <c r="CL3">
        <f t="shared" si="0"/>
        <v>0.1015619209010749</v>
      </c>
      <c r="CM3">
        <f t="shared" si="0"/>
        <v>0</v>
      </c>
      <c r="CN3">
        <f t="shared" si="0"/>
        <v>2.402277223336443E-2</v>
      </c>
      <c r="CO3">
        <f t="shared" si="0"/>
        <v>7.9490136204865679E-3</v>
      </c>
      <c r="CP3">
        <f t="shared" si="0"/>
        <v>7.3594833931466567E-3</v>
      </c>
      <c r="CQ3">
        <f t="shared" si="0"/>
        <v>7.8907731118399473E-3</v>
      </c>
      <c r="CR3">
        <f t="shared" si="0"/>
        <v>2.1510141774952981E-3</v>
      </c>
      <c r="CS3">
        <f t="shared" si="0"/>
        <v>1.7750279254985216E-3</v>
      </c>
      <c r="CT3">
        <f t="shared" si="0"/>
        <v>6.3111117800384111E-4</v>
      </c>
    </row>
    <row r="4" spans="1:98" x14ac:dyDescent="0.25">
      <c r="A4" s="14"/>
      <c r="B4" s="11"/>
      <c r="C4" s="1" t="s">
        <v>1</v>
      </c>
      <c r="D4" s="1">
        <v>19.625348330000001</v>
      </c>
      <c r="E4" s="1">
        <v>1398.5824984599999</v>
      </c>
      <c r="F4" s="1">
        <v>276.39690039999999</v>
      </c>
      <c r="G4" s="1">
        <v>21.410927919999999</v>
      </c>
      <c r="H4" s="1">
        <v>13.09983991</v>
      </c>
      <c r="I4" s="1">
        <v>15.934285190000001</v>
      </c>
      <c r="J4" s="1">
        <v>11.62558915</v>
      </c>
      <c r="K4" s="1">
        <v>80.622596389999998</v>
      </c>
      <c r="L4" s="1">
        <v>177.09005943</v>
      </c>
      <c r="M4" s="1">
        <v>542.29026202</v>
      </c>
      <c r="N4" s="1">
        <v>358.56941277999999</v>
      </c>
      <c r="O4" s="1">
        <v>78.322832529999999</v>
      </c>
      <c r="P4" s="1">
        <v>115.2094671</v>
      </c>
      <c r="Q4" s="1">
        <v>26.886107729999999</v>
      </c>
      <c r="R4" s="1">
        <v>18.112839340000001</v>
      </c>
      <c r="S4" s="1">
        <v>55.088279380000003</v>
      </c>
      <c r="T4" s="1">
        <v>15.125581670000001</v>
      </c>
      <c r="U4" s="1">
        <v>1.0167281800000001</v>
      </c>
      <c r="V4" s="1">
        <v>74.759662599999999</v>
      </c>
      <c r="W4" s="1">
        <v>18.24315928</v>
      </c>
      <c r="X4" s="1">
        <v>282.29742607999998</v>
      </c>
      <c r="Y4" s="1">
        <v>129.96901817</v>
      </c>
      <c r="Z4" s="1">
        <v>9.8438639899999991</v>
      </c>
      <c r="AA4" s="1">
        <v>4.8228894699999998</v>
      </c>
      <c r="AB4" s="1">
        <v>323.29389981000003</v>
      </c>
      <c r="AC4" s="1">
        <v>464.13027920000002</v>
      </c>
      <c r="AD4" s="1">
        <v>19.595980600000001</v>
      </c>
      <c r="AE4" s="1">
        <v>11.12865085</v>
      </c>
      <c r="AF4" s="1">
        <v>407.72897230000001</v>
      </c>
      <c r="AG4" s="1">
        <v>4.8887390599999998</v>
      </c>
      <c r="AH4" s="1">
        <v>3.6504365999999999</v>
      </c>
      <c r="AI4" s="1">
        <v>112.38570532999999</v>
      </c>
      <c r="AJ4" s="1">
        <v>4.5578207400000004</v>
      </c>
      <c r="AK4" s="1">
        <v>151.41158793</v>
      </c>
      <c r="AL4" s="1">
        <v>0</v>
      </c>
      <c r="AM4" s="1">
        <v>34.318410780000001</v>
      </c>
      <c r="AN4" s="1">
        <v>5.5620990800000003</v>
      </c>
      <c r="AO4" s="1">
        <v>27.501417880000002</v>
      </c>
      <c r="AP4" s="1">
        <v>1.0259105799999999</v>
      </c>
      <c r="AQ4" s="1">
        <v>2.7530720899999999</v>
      </c>
      <c r="AR4" s="1">
        <v>7.8502795699999997</v>
      </c>
      <c r="AS4" s="1">
        <v>2.6147077200000002</v>
      </c>
      <c r="AT4" s="4">
        <v>0</v>
      </c>
      <c r="AU4" s="1">
        <v>-82.924728169999995</v>
      </c>
      <c r="AV4" s="1">
        <v>374.72755010999998</v>
      </c>
      <c r="AW4" s="1">
        <v>43.698100859999997</v>
      </c>
      <c r="AX4" s="1">
        <v>413.95417742000001</v>
      </c>
      <c r="AY4" s="4">
        <v>7343.5766809300003</v>
      </c>
      <c r="BB4" s="18"/>
      <c r="BC4">
        <f t="shared" ref="BC4:BC67" si="1">SUM(D4:AS4)+AV4</f>
        <v>5704.0710957299998</v>
      </c>
      <c r="BD4" s="1" t="s">
        <v>1</v>
      </c>
      <c r="BE4">
        <f t="shared" ref="BE4" si="2">D4/$BC4</f>
        <v>3.4405862059979065E-3</v>
      </c>
      <c r="BF4">
        <f t="shared" ref="BF4" si="3">E4/$BC4</f>
        <v>0.24519022904657731</v>
      </c>
      <c r="BG4">
        <f t="shared" si="0"/>
        <v>4.8456075627617515E-2</v>
      </c>
      <c r="BH4">
        <f t="shared" si="0"/>
        <v>3.7536222043284078E-3</v>
      </c>
      <c r="BI4">
        <f t="shared" si="0"/>
        <v>2.2965772498534224E-3</v>
      </c>
      <c r="BJ4">
        <f t="shared" si="0"/>
        <v>2.7934934404881834E-3</v>
      </c>
      <c r="BK4">
        <f t="shared" si="0"/>
        <v>2.0381213618993598E-3</v>
      </c>
      <c r="BL4">
        <f t="shared" si="0"/>
        <v>1.4134220109976035E-2</v>
      </c>
      <c r="BM4">
        <f t="shared" si="0"/>
        <v>3.1046257393700354E-2</v>
      </c>
      <c r="BN4">
        <f t="shared" si="0"/>
        <v>9.5070740339465984E-2</v>
      </c>
      <c r="BO4">
        <f t="shared" si="0"/>
        <v>6.2862016752985569E-2</v>
      </c>
      <c r="BP4">
        <f t="shared" si="0"/>
        <v>1.3731040727846387E-2</v>
      </c>
      <c r="BQ4">
        <f t="shared" si="0"/>
        <v>2.0197761417497836E-2</v>
      </c>
      <c r="BR4">
        <f t="shared" si="0"/>
        <v>4.7134944987145449E-3</v>
      </c>
      <c r="BS4">
        <f t="shared" si="0"/>
        <v>3.1754231383194116E-3</v>
      </c>
      <c r="BT4">
        <f t="shared" si="0"/>
        <v>9.6577126153351133E-3</v>
      </c>
      <c r="BU4">
        <f t="shared" si="0"/>
        <v>2.6517168906472488E-3</v>
      </c>
      <c r="BV4">
        <f t="shared" si="0"/>
        <v>1.7824605670870947E-4</v>
      </c>
      <c r="BW4">
        <f t="shared" si="0"/>
        <v>1.3106369353629585E-2</v>
      </c>
      <c r="BX4">
        <f t="shared" si="0"/>
        <v>3.1982699678579766E-3</v>
      </c>
      <c r="BY4">
        <f t="shared" si="0"/>
        <v>4.9490516745368848E-2</v>
      </c>
      <c r="BZ4">
        <f t="shared" si="0"/>
        <v>2.2785308245420233E-2</v>
      </c>
      <c r="CA4">
        <f t="shared" si="0"/>
        <v>1.7257610967312451E-3</v>
      </c>
      <c r="CB4">
        <f t="shared" si="0"/>
        <v>8.455170682585562E-4</v>
      </c>
      <c r="CC4">
        <f t="shared" si="0"/>
        <v>5.6677747241266681E-2</v>
      </c>
      <c r="CD4">
        <f t="shared" si="0"/>
        <v>8.1368249345181276E-2</v>
      </c>
      <c r="CE4">
        <f t="shared" si="0"/>
        <v>3.4354376499039995E-3</v>
      </c>
      <c r="CF4">
        <f t="shared" si="0"/>
        <v>1.9510014274420205E-3</v>
      </c>
      <c r="CG4">
        <f t="shared" si="0"/>
        <v>7.1480345433495934E-2</v>
      </c>
      <c r="CH4">
        <f t="shared" si="0"/>
        <v>8.5706138264294283E-4</v>
      </c>
      <c r="CI4">
        <f t="shared" si="0"/>
        <v>6.3997038934747387E-4</v>
      </c>
      <c r="CJ4">
        <f t="shared" si="0"/>
        <v>1.9702718189142245E-2</v>
      </c>
      <c r="CK4">
        <f t="shared" si="0"/>
        <v>7.9904697250564273E-4</v>
      </c>
      <c r="CL4">
        <f t="shared" si="0"/>
        <v>2.65444776877597E-2</v>
      </c>
      <c r="CM4">
        <f t="shared" si="0"/>
        <v>0</v>
      </c>
      <c r="CN4">
        <f t="shared" si="0"/>
        <v>6.0164766890248543E-3</v>
      </c>
      <c r="CO4">
        <f t="shared" si="0"/>
        <v>9.7511040564759479E-4</v>
      </c>
      <c r="CP4">
        <f t="shared" si="0"/>
        <v>4.8213666026335538E-3</v>
      </c>
      <c r="CQ4">
        <f t="shared" si="0"/>
        <v>1.7985585431569821E-4</v>
      </c>
      <c r="CR4">
        <f t="shared" si="0"/>
        <v>4.8265038141984541E-4</v>
      </c>
      <c r="CS4">
        <f t="shared" si="0"/>
        <v>1.3762590679973514E-3</v>
      </c>
      <c r="CT4">
        <f t="shared" si="0"/>
        <v>4.5839325564461136E-4</v>
      </c>
    </row>
    <row r="5" spans="1:98" x14ac:dyDescent="0.25">
      <c r="A5" s="14"/>
      <c r="B5" s="11"/>
      <c r="C5" s="1" t="s">
        <v>2</v>
      </c>
      <c r="D5" s="1">
        <v>0</v>
      </c>
      <c r="E5" s="1">
        <v>18.821405030000001</v>
      </c>
      <c r="F5" s="1">
        <v>18.08703349</v>
      </c>
      <c r="G5" s="1">
        <v>3.4347663599999998</v>
      </c>
      <c r="H5" s="1">
        <v>2.26694818</v>
      </c>
      <c r="I5" s="1">
        <v>2.22785148</v>
      </c>
      <c r="J5" s="1">
        <v>0.40439618999999999</v>
      </c>
      <c r="K5" s="1">
        <v>2.07879324</v>
      </c>
      <c r="L5" s="1">
        <v>58.382213229999998</v>
      </c>
      <c r="M5" s="1">
        <v>89.566456020000004</v>
      </c>
      <c r="N5" s="1">
        <v>15.800995929999999</v>
      </c>
      <c r="O5" s="1">
        <v>20.396803890000001</v>
      </c>
      <c r="P5" s="1">
        <v>11.93578857</v>
      </c>
      <c r="Q5" s="1">
        <v>39.303716770000001</v>
      </c>
      <c r="R5" s="1">
        <v>2.6199779300000001</v>
      </c>
      <c r="S5" s="1">
        <v>10.43410119</v>
      </c>
      <c r="T5" s="1">
        <v>0.54372030000000005</v>
      </c>
      <c r="U5" s="1">
        <v>2.13771713</v>
      </c>
      <c r="V5" s="1">
        <v>0.31472991</v>
      </c>
      <c r="W5" s="1">
        <v>1.44770143</v>
      </c>
      <c r="X5" s="1">
        <v>42.663342489999998</v>
      </c>
      <c r="Y5" s="1">
        <v>1.31457552</v>
      </c>
      <c r="Z5" s="1">
        <v>1.0275364499999999</v>
      </c>
      <c r="AA5" s="1">
        <v>2.6045045500000001</v>
      </c>
      <c r="AB5" s="1">
        <v>33.672714740000004</v>
      </c>
      <c r="AC5" s="1">
        <v>37.601079339999998</v>
      </c>
      <c r="AD5" s="1">
        <v>3.0632550200000002</v>
      </c>
      <c r="AE5" s="1">
        <v>0.79212397000000001</v>
      </c>
      <c r="AF5" s="1">
        <v>11.95920918</v>
      </c>
      <c r="AG5" s="1">
        <v>2.4145873999999998</v>
      </c>
      <c r="AH5" s="1">
        <v>0.50696907000000002</v>
      </c>
      <c r="AI5" s="1">
        <v>20.1760439</v>
      </c>
      <c r="AJ5" s="1">
        <v>0.32036827000000001</v>
      </c>
      <c r="AK5" s="1">
        <v>34.806672409999997</v>
      </c>
      <c r="AL5" s="1">
        <v>0</v>
      </c>
      <c r="AM5" s="1">
        <v>12.02195976</v>
      </c>
      <c r="AN5" s="1">
        <v>2.9044883700000002</v>
      </c>
      <c r="AO5" s="1">
        <v>5.3773024100000004</v>
      </c>
      <c r="AP5" s="1">
        <v>0.96531239999999996</v>
      </c>
      <c r="AQ5" s="1">
        <v>0.40840240999999999</v>
      </c>
      <c r="AR5" s="1">
        <v>0.51783358999999995</v>
      </c>
      <c r="AS5" s="1">
        <v>0.26960856999999999</v>
      </c>
      <c r="AT5" s="4">
        <v>0</v>
      </c>
      <c r="AU5" s="1">
        <v>-23.460180130000001</v>
      </c>
      <c r="AV5" s="1">
        <v>4.1469342400000002</v>
      </c>
      <c r="AW5" s="1">
        <v>0</v>
      </c>
      <c r="AX5" s="1">
        <v>27.607114379999999</v>
      </c>
      <c r="AY5" s="4">
        <v>848.42776964999996</v>
      </c>
      <c r="BB5" s="18"/>
      <c r="BC5">
        <f t="shared" si="1"/>
        <v>519.73994032999997</v>
      </c>
      <c r="BD5" s="1" t="s">
        <v>2</v>
      </c>
      <c r="BE5">
        <f t="shared" ref="BE5:BE44" si="4">D5/$BC5</f>
        <v>0</v>
      </c>
      <c r="BF5">
        <f t="shared" ref="BF5:BF45" si="5">E5/$BC5</f>
        <v>3.6213120388726858E-2</v>
      </c>
      <c r="BG5">
        <f t="shared" ref="BG5:BG45" si="6">F5/$BC5</f>
        <v>3.4800160785249536E-2</v>
      </c>
      <c r="BH5">
        <f t="shared" ref="BH5:BH45" si="7">G5/$BC5</f>
        <v>6.6086249939135977E-3</v>
      </c>
      <c r="BI5">
        <f t="shared" ref="BI5:BI45" si="8">H5/$BC5</f>
        <v>4.361697079813878E-3</v>
      </c>
      <c r="BJ5">
        <f t="shared" ref="BJ5:BJ45" si="9">I5/$BC5</f>
        <v>4.2864734978525299E-3</v>
      </c>
      <c r="BK5">
        <f t="shared" ref="BK5:BK45" si="10">J5/$BC5</f>
        <v>7.7807410710678798E-4</v>
      </c>
      <c r="BL5">
        <f t="shared" ref="BL5:BL45" si="11">K5/$BC5</f>
        <v>3.999679606458772E-3</v>
      </c>
      <c r="BM5">
        <f t="shared" ref="BM5:BM45" si="12">L5/$BC5</f>
        <v>0.11232966470294974</v>
      </c>
      <c r="BN5">
        <f t="shared" ref="BN5:BN45" si="13">M5/$BC5</f>
        <v>0.17232936911319788</v>
      </c>
      <c r="BO5">
        <f t="shared" ref="BO5:BO45" si="14">N5/$BC5</f>
        <v>3.040173499070983E-2</v>
      </c>
      <c r="BP5">
        <f t="shared" ref="BP5:BP45" si="15">O5/$BC5</f>
        <v>3.9244249493408954E-2</v>
      </c>
      <c r="BQ5">
        <f t="shared" ref="BQ5:BQ45" si="16">P5/$BC5</f>
        <v>2.2964924655245036E-2</v>
      </c>
      <c r="BR5">
        <f t="shared" ref="BR5:BR45" si="17">Q5/$BC5</f>
        <v>7.5621890334317543E-2</v>
      </c>
      <c r="BS5">
        <f t="shared" ref="BS5:BS45" si="18">R5/$BC5</f>
        <v>5.0409401446740651E-3</v>
      </c>
      <c r="BT5">
        <f t="shared" ref="BT5:BT45" si="19">S5/$BC5</f>
        <v>2.0075619324878217E-2</v>
      </c>
      <c r="BU5">
        <f t="shared" ref="BU5:BU45" si="20">T5/$BC5</f>
        <v>1.0461391511585086E-3</v>
      </c>
      <c r="BV5">
        <f t="shared" ref="BV5:BV45" si="21">U5/$BC5</f>
        <v>4.1130514784811284E-3</v>
      </c>
      <c r="BW5">
        <f t="shared" ref="BW5:BW45" si="22">V5/$BC5</f>
        <v>6.0555267274661946E-4</v>
      </c>
      <c r="BX5">
        <f t="shared" ref="BX5:BX45" si="23">W5/$BC5</f>
        <v>2.7854342482911874E-3</v>
      </c>
      <c r="BY5">
        <f t="shared" ref="BY5:BY45" si="24">X5/$BC5</f>
        <v>8.2085941794105027E-2</v>
      </c>
      <c r="BZ5">
        <f t="shared" ref="BZ5:BZ45" si="25">Y5/$BC5</f>
        <v>2.5292947837823139E-3</v>
      </c>
      <c r="CA5">
        <f t="shared" ref="CA5:CA45" si="26">Z5/$BC5</f>
        <v>1.9770203716643043E-3</v>
      </c>
      <c r="CB5">
        <f t="shared" ref="CB5:CB45" si="27">AA5/$BC5</f>
        <v>5.0111687555632429E-3</v>
      </c>
      <c r="CC5">
        <f t="shared" ref="CC5:CC45" si="28">AB5/$BC5</f>
        <v>6.4787621899175363E-2</v>
      </c>
      <c r="CD5">
        <f t="shared" ref="CD5:CD45" si="29">AC5/$BC5</f>
        <v>7.2345949237855062E-2</v>
      </c>
      <c r="CE5">
        <f t="shared" ref="CE5:CE45" si="30">AD5/$BC5</f>
        <v>5.8938226260907304E-3</v>
      </c>
      <c r="CF5">
        <f t="shared" ref="CF5:CF45" si="31">AE5/$BC5</f>
        <v>1.5240775405812655E-3</v>
      </c>
      <c r="CG5">
        <f t="shared" ref="CG5:CG45" si="32">AF5/$BC5</f>
        <v>2.3009986826116741E-2</v>
      </c>
      <c r="CH5">
        <f t="shared" ref="CH5:CH45" si="33">AG5/$BC5</f>
        <v>4.645760721153927E-3</v>
      </c>
      <c r="CI5">
        <f t="shared" ref="CI5:CI45" si="34">AH5/$BC5</f>
        <v>9.7542834533383886E-4</v>
      </c>
      <c r="CJ5">
        <f t="shared" ref="CJ5:CJ45" si="35">AI5/$BC5</f>
        <v>3.8819498626927858E-2</v>
      </c>
      <c r="CK5">
        <f t="shared" ref="CK5:CK45" si="36">AJ5/$BC5</f>
        <v>6.1640109820420511E-4</v>
      </c>
      <c r="CL5">
        <f t="shared" ref="CL5:CL45" si="37">AK5/$BC5</f>
        <v>6.6969400865940956E-2</v>
      </c>
      <c r="CM5">
        <f t="shared" ref="CM5:CM45" si="38">AL5/$BC5</f>
        <v>0</v>
      </c>
      <c r="CN5">
        <f t="shared" ref="CN5:CN45" si="39">AM5/$BC5</f>
        <v>2.313072139956545E-2</v>
      </c>
      <c r="CO5">
        <f t="shared" ref="CO5:CO45" si="40">AN5/$BC5</f>
        <v>5.5883493736422199E-3</v>
      </c>
      <c r="CP5">
        <f t="shared" ref="CP5:CP45" si="41">AO5/$BC5</f>
        <v>1.0346140430511795E-2</v>
      </c>
      <c r="CQ5">
        <f t="shared" ref="CQ5:CQ45" si="42">AP5/$BC5</f>
        <v>1.8572988625563227E-3</v>
      </c>
      <c r="CR5">
        <f t="shared" ref="CR5:CR45" si="43">AQ5/$BC5</f>
        <v>7.8578223128415313E-4</v>
      </c>
      <c r="CS5">
        <f t="shared" ref="CS5:CS45" si="44">AR5/$BC5</f>
        <v>9.9633210730583907E-4</v>
      </c>
      <c r="CT5">
        <f t="shared" ref="CT5:CT45" si="45">AS5/$BC5</f>
        <v>5.1873744747963117E-4</v>
      </c>
    </row>
    <row r="6" spans="1:98" x14ac:dyDescent="0.25">
      <c r="A6" s="14"/>
      <c r="B6" s="11"/>
      <c r="C6" s="1" t="s">
        <v>3</v>
      </c>
      <c r="D6" s="1">
        <v>0</v>
      </c>
      <c r="E6" s="1">
        <v>33.62846235</v>
      </c>
      <c r="F6" s="1">
        <v>12.480181529999999</v>
      </c>
      <c r="G6" s="1">
        <v>1393.76657406</v>
      </c>
      <c r="H6" s="1">
        <v>33.266781450000003</v>
      </c>
      <c r="I6" s="1">
        <v>4.6618498800000001</v>
      </c>
      <c r="J6" s="1">
        <v>2.6830624900000002</v>
      </c>
      <c r="K6" s="1">
        <v>141.25792003999999</v>
      </c>
      <c r="L6" s="1">
        <v>16.073187059999999</v>
      </c>
      <c r="M6" s="1">
        <v>207.73558928</v>
      </c>
      <c r="N6" s="1">
        <v>3.2801516899999998</v>
      </c>
      <c r="O6" s="1">
        <v>27.016657980000002</v>
      </c>
      <c r="P6" s="1">
        <v>12.826997889999999</v>
      </c>
      <c r="Q6" s="1">
        <v>12.19951318</v>
      </c>
      <c r="R6" s="1">
        <v>5.13006399</v>
      </c>
      <c r="S6" s="1">
        <v>6.0885453800000002</v>
      </c>
      <c r="T6" s="1">
        <v>3.9842802700000002</v>
      </c>
      <c r="U6" s="1">
        <v>0.47294996</v>
      </c>
      <c r="V6" s="1">
        <v>2.7967749300000002</v>
      </c>
      <c r="W6" s="1">
        <v>4.8566927299999998</v>
      </c>
      <c r="X6" s="1">
        <v>98.614476629999999</v>
      </c>
      <c r="Y6" s="1">
        <v>1.71496165</v>
      </c>
      <c r="Z6" s="1">
        <v>13.26787852</v>
      </c>
      <c r="AA6" s="1">
        <v>6.3575115000000002</v>
      </c>
      <c r="AB6" s="1">
        <v>489.27583033000002</v>
      </c>
      <c r="AC6" s="1">
        <v>331.08659204999998</v>
      </c>
      <c r="AD6" s="1">
        <v>19.962075939999998</v>
      </c>
      <c r="AE6" s="1">
        <v>3722.1950799299998</v>
      </c>
      <c r="AF6" s="1">
        <v>18.205803079999999</v>
      </c>
      <c r="AG6" s="1">
        <v>0</v>
      </c>
      <c r="AH6" s="1">
        <v>12.318596489999999</v>
      </c>
      <c r="AI6" s="1">
        <v>58.440748419999998</v>
      </c>
      <c r="AJ6" s="1">
        <v>3.7543477900000002</v>
      </c>
      <c r="AK6" s="1">
        <v>260.05044966999998</v>
      </c>
      <c r="AL6" s="1">
        <v>0</v>
      </c>
      <c r="AM6" s="1">
        <v>40.312788470000001</v>
      </c>
      <c r="AN6" s="1">
        <v>7.6626246699999996</v>
      </c>
      <c r="AO6" s="1">
        <v>28.459219489999999</v>
      </c>
      <c r="AP6" s="1">
        <v>4.6591270900000001</v>
      </c>
      <c r="AQ6" s="1">
        <v>1.0297624599999999</v>
      </c>
      <c r="AR6" s="1">
        <v>4.2776222199999996</v>
      </c>
      <c r="AS6" s="1">
        <v>1.73106173</v>
      </c>
      <c r="AT6" s="4">
        <v>0</v>
      </c>
      <c r="AU6" s="1">
        <v>94.653997880000006</v>
      </c>
      <c r="AV6" s="1">
        <v>4968.3942947599999</v>
      </c>
      <c r="AW6" s="1">
        <v>4262.31015174</v>
      </c>
      <c r="AX6" s="1">
        <v>611.43014514000004</v>
      </c>
      <c r="AY6" s="4">
        <v>11471.15328237</v>
      </c>
      <c r="BB6" s="18"/>
      <c r="BC6">
        <f t="shared" si="1"/>
        <v>12015.977089029999</v>
      </c>
      <c r="BD6" s="1" t="s">
        <v>3</v>
      </c>
      <c r="BE6">
        <f t="shared" si="4"/>
        <v>0</v>
      </c>
      <c r="BF6">
        <f t="shared" si="5"/>
        <v>2.7986456782362829E-3</v>
      </c>
      <c r="BG6">
        <f t="shared" si="6"/>
        <v>1.0386322674827498E-3</v>
      </c>
      <c r="BH6">
        <f t="shared" si="7"/>
        <v>0.11599277892535606</v>
      </c>
      <c r="BI6">
        <f t="shared" si="8"/>
        <v>2.7685456791001167E-3</v>
      </c>
      <c r="BJ6">
        <f t="shared" si="9"/>
        <v>3.8797093615100531E-4</v>
      </c>
      <c r="BK6">
        <f t="shared" si="10"/>
        <v>2.2329124549093102E-4</v>
      </c>
      <c r="BL6">
        <f t="shared" si="11"/>
        <v>1.1755841326375496E-2</v>
      </c>
      <c r="BM6">
        <f t="shared" si="12"/>
        <v>1.3376512738755165E-3</v>
      </c>
      <c r="BN6">
        <f t="shared" si="13"/>
        <v>1.728828107284363E-2</v>
      </c>
      <c r="BO6">
        <f t="shared" si="14"/>
        <v>2.729825186663029E-4</v>
      </c>
      <c r="BP6">
        <f t="shared" si="15"/>
        <v>2.2483945982773963E-3</v>
      </c>
      <c r="BQ6">
        <f t="shared" si="16"/>
        <v>1.067495202009866E-3</v>
      </c>
      <c r="BR6">
        <f t="shared" si="17"/>
        <v>1.0152743376264891E-3</v>
      </c>
      <c r="BS6">
        <f t="shared" si="18"/>
        <v>4.2693689843029895E-4</v>
      </c>
      <c r="BT6">
        <f t="shared" si="19"/>
        <v>5.0670414356553204E-4</v>
      </c>
      <c r="BU6">
        <f t="shared" si="20"/>
        <v>3.31581879732232E-4</v>
      </c>
      <c r="BV6">
        <f t="shared" si="21"/>
        <v>3.9360091692566581E-5</v>
      </c>
      <c r="BW6">
        <f t="shared" si="22"/>
        <v>2.3275468230988218E-4</v>
      </c>
      <c r="BX6">
        <f t="shared" si="23"/>
        <v>4.0418625085711287E-4</v>
      </c>
      <c r="BY6">
        <f t="shared" si="24"/>
        <v>8.2069461267557011E-3</v>
      </c>
      <c r="BZ6">
        <f t="shared" si="25"/>
        <v>1.4272344540051398E-4</v>
      </c>
      <c r="CA6">
        <f t="shared" si="26"/>
        <v>1.1041864029611812E-3</v>
      </c>
      <c r="CB6">
        <f t="shared" si="27"/>
        <v>5.2908818424796252E-4</v>
      </c>
      <c r="CC6">
        <f t="shared" si="28"/>
        <v>4.0718771907170576E-2</v>
      </c>
      <c r="CD6">
        <f t="shared" si="29"/>
        <v>2.7553863460031552E-2</v>
      </c>
      <c r="CE6">
        <f t="shared" si="30"/>
        <v>1.6612944409010568E-3</v>
      </c>
      <c r="CF6">
        <f t="shared" si="31"/>
        <v>0.3097704874394428</v>
      </c>
      <c r="CG6">
        <f t="shared" si="32"/>
        <v>1.5151329721343268E-3</v>
      </c>
      <c r="CH6">
        <f t="shared" si="33"/>
        <v>0</v>
      </c>
      <c r="CI6">
        <f t="shared" si="34"/>
        <v>1.025184751828986E-3</v>
      </c>
      <c r="CJ6">
        <f t="shared" si="35"/>
        <v>4.8635868716289041E-3</v>
      </c>
      <c r="CK6">
        <f t="shared" si="36"/>
        <v>3.1244631728097555E-4</v>
      </c>
      <c r="CL6">
        <f t="shared" si="37"/>
        <v>2.1642056051139891E-2</v>
      </c>
      <c r="CM6">
        <f t="shared" si="38"/>
        <v>0</v>
      </c>
      <c r="CN6">
        <f t="shared" si="39"/>
        <v>3.3549322016270828E-3</v>
      </c>
      <c r="CO6">
        <f t="shared" si="40"/>
        <v>6.377030026959358E-4</v>
      </c>
      <c r="CP6">
        <f t="shared" si="41"/>
        <v>2.3684482151669446E-3</v>
      </c>
      <c r="CQ6">
        <f t="shared" si="42"/>
        <v>3.8774433868166711E-4</v>
      </c>
      <c r="CR6">
        <f t="shared" si="43"/>
        <v>8.5699436040047284E-5</v>
      </c>
      <c r="CS6">
        <f t="shared" si="44"/>
        <v>3.5599453863017599E-4</v>
      </c>
      <c r="CT6">
        <f t="shared" si="45"/>
        <v>1.4406333477286461E-4</v>
      </c>
    </row>
    <row r="7" spans="1:98" x14ac:dyDescent="0.25">
      <c r="A7" s="14"/>
      <c r="B7" s="11"/>
      <c r="C7" s="1" t="s">
        <v>4</v>
      </c>
      <c r="D7" s="1">
        <v>0</v>
      </c>
      <c r="E7" s="1">
        <v>2.4074562799999999</v>
      </c>
      <c r="F7" s="1">
        <v>0.18318823000000001</v>
      </c>
      <c r="G7" s="1">
        <v>11.93990382</v>
      </c>
      <c r="H7" s="1">
        <v>804.78135538000004</v>
      </c>
      <c r="I7" s="1">
        <v>6.8712774999999997</v>
      </c>
      <c r="J7" s="1">
        <v>1.46710813</v>
      </c>
      <c r="K7" s="1">
        <v>15.741969360000001</v>
      </c>
      <c r="L7" s="1">
        <v>6.5581835499999999</v>
      </c>
      <c r="M7" s="1">
        <v>566.36449748999996</v>
      </c>
      <c r="N7" s="1">
        <v>8.7004230099999997</v>
      </c>
      <c r="O7" s="1">
        <v>8.8062125400000006</v>
      </c>
      <c r="P7" s="1">
        <v>6.7415535599999998</v>
      </c>
      <c r="Q7" s="1">
        <v>16.361131660000002</v>
      </c>
      <c r="R7" s="1">
        <v>1.8871867499999999</v>
      </c>
      <c r="S7" s="1">
        <v>3.0591197999999999</v>
      </c>
      <c r="T7" s="1">
        <v>1.69531553</v>
      </c>
      <c r="U7" s="1">
        <v>0.86087817</v>
      </c>
      <c r="V7" s="1">
        <v>2.4477332299999999</v>
      </c>
      <c r="W7" s="1">
        <v>1.4921164600000001</v>
      </c>
      <c r="X7" s="1">
        <v>111.23433037</v>
      </c>
      <c r="Y7" s="1">
        <v>1.2671342000000001</v>
      </c>
      <c r="Z7" s="1">
        <v>5.2801082199999998</v>
      </c>
      <c r="AA7" s="1">
        <v>2.2491551900000002</v>
      </c>
      <c r="AB7" s="1">
        <v>147.72136732999999</v>
      </c>
      <c r="AC7" s="1">
        <v>108.76086492</v>
      </c>
      <c r="AD7" s="1">
        <v>5.0486073300000003</v>
      </c>
      <c r="AE7" s="1">
        <v>276.68061017000002</v>
      </c>
      <c r="AF7" s="1">
        <v>8.4506715999999997</v>
      </c>
      <c r="AG7" s="1">
        <v>0</v>
      </c>
      <c r="AH7" s="1">
        <v>2.4942047899999999</v>
      </c>
      <c r="AI7" s="1">
        <v>30.646972559999998</v>
      </c>
      <c r="AJ7" s="1">
        <v>1.4353042499999999</v>
      </c>
      <c r="AK7" s="1">
        <v>39.122260750000002</v>
      </c>
      <c r="AL7" s="1">
        <v>0</v>
      </c>
      <c r="AM7" s="1">
        <v>10.49926464</v>
      </c>
      <c r="AN7" s="1">
        <v>2.0030505000000001</v>
      </c>
      <c r="AO7" s="1">
        <v>7.8892052499999998</v>
      </c>
      <c r="AP7" s="1">
        <v>1.2380305700000001</v>
      </c>
      <c r="AQ7" s="1">
        <v>0.48556113000000001</v>
      </c>
      <c r="AR7" s="1">
        <v>1.78203782</v>
      </c>
      <c r="AS7" s="1">
        <v>0.78193608000000003</v>
      </c>
      <c r="AT7" s="4">
        <v>0</v>
      </c>
      <c r="AU7" s="1">
        <v>-3.39048398</v>
      </c>
      <c r="AV7" s="1">
        <v>883.75799035</v>
      </c>
      <c r="AW7" s="1">
        <v>127.08005110000001</v>
      </c>
      <c r="AX7" s="1">
        <v>760.06842324000002</v>
      </c>
      <c r="AY7" s="4">
        <v>3062.8679777299999</v>
      </c>
      <c r="BB7" s="18"/>
      <c r="BC7">
        <f t="shared" si="1"/>
        <v>3117.1952784699997</v>
      </c>
      <c r="BD7" s="1" t="s">
        <v>4</v>
      </c>
      <c r="BE7">
        <f t="shared" si="4"/>
        <v>0</v>
      </c>
      <c r="BF7">
        <f t="shared" si="5"/>
        <v>7.7231487440903668E-4</v>
      </c>
      <c r="BG7">
        <f t="shared" si="6"/>
        <v>5.8767004834523408E-5</v>
      </c>
      <c r="BH7">
        <f t="shared" si="7"/>
        <v>3.8303355270897285E-3</v>
      </c>
      <c r="BI7">
        <f t="shared" si="8"/>
        <v>0.25817482816636617</v>
      </c>
      <c r="BJ7">
        <f t="shared" si="9"/>
        <v>2.2043140984650154E-3</v>
      </c>
      <c r="BK7">
        <f t="shared" si="10"/>
        <v>4.7065005523814812E-4</v>
      </c>
      <c r="BL7">
        <f t="shared" si="11"/>
        <v>5.0500427319159057E-3</v>
      </c>
      <c r="BM7">
        <f t="shared" si="12"/>
        <v>2.1038731821828392E-3</v>
      </c>
      <c r="BN7">
        <f t="shared" si="13"/>
        <v>0.18169041298175787</v>
      </c>
      <c r="BO7">
        <f t="shared" si="14"/>
        <v>2.7911061812817815E-3</v>
      </c>
      <c r="BP7">
        <f t="shared" si="15"/>
        <v>2.825043589929444E-3</v>
      </c>
      <c r="BQ7">
        <f t="shared" si="16"/>
        <v>2.1626985022603169E-3</v>
      </c>
      <c r="BR7">
        <f t="shared" si="17"/>
        <v>5.2486707435379122E-3</v>
      </c>
      <c r="BS7">
        <f t="shared" si="18"/>
        <v>6.0541178251953467E-4</v>
      </c>
      <c r="BT7">
        <f t="shared" si="19"/>
        <v>9.8136931655481508E-4</v>
      </c>
      <c r="BU7">
        <f t="shared" si="20"/>
        <v>5.4385926403433568E-4</v>
      </c>
      <c r="BV7">
        <f t="shared" si="21"/>
        <v>2.7617075386516735E-4</v>
      </c>
      <c r="BW7">
        <f t="shared" si="22"/>
        <v>7.8523576848268896E-4</v>
      </c>
      <c r="BX7">
        <f t="shared" si="23"/>
        <v>4.786727576247227E-4</v>
      </c>
      <c r="BY7">
        <f t="shared" si="24"/>
        <v>3.5684107164629317E-2</v>
      </c>
      <c r="BZ7">
        <f t="shared" si="25"/>
        <v>4.0649817762522159E-4</v>
      </c>
      <c r="CA7">
        <f t="shared" si="26"/>
        <v>1.6938650768750087E-3</v>
      </c>
      <c r="CB7">
        <f t="shared" si="27"/>
        <v>7.2153169406311425E-4</v>
      </c>
      <c r="CC7">
        <f t="shared" si="28"/>
        <v>4.7389192570093164E-2</v>
      </c>
      <c r="CD7">
        <f t="shared" si="29"/>
        <v>3.4890616468976128E-2</v>
      </c>
      <c r="CE7">
        <f t="shared" si="30"/>
        <v>1.6195993125198071E-3</v>
      </c>
      <c r="CF7">
        <f t="shared" si="31"/>
        <v>8.8759473004784623E-2</v>
      </c>
      <c r="CG7">
        <f t="shared" si="32"/>
        <v>2.7109856281277984E-3</v>
      </c>
      <c r="CH7">
        <f t="shared" si="33"/>
        <v>0</v>
      </c>
      <c r="CI7">
        <f t="shared" si="34"/>
        <v>8.0014390090575919E-4</v>
      </c>
      <c r="CJ7">
        <f t="shared" si="35"/>
        <v>9.8315857115766989E-3</v>
      </c>
      <c r="CK7">
        <f t="shared" si="36"/>
        <v>4.6044733222632252E-4</v>
      </c>
      <c r="CL7">
        <f t="shared" si="37"/>
        <v>1.2550468371427221E-2</v>
      </c>
      <c r="CM7">
        <f t="shared" si="38"/>
        <v>0</v>
      </c>
      <c r="CN7">
        <f t="shared" si="39"/>
        <v>3.3681767428934742E-3</v>
      </c>
      <c r="CO7">
        <f t="shared" si="40"/>
        <v>6.4258101307761162E-4</v>
      </c>
      <c r="CP7">
        <f t="shared" si="41"/>
        <v>2.5308665467606594E-3</v>
      </c>
      <c r="CQ7">
        <f t="shared" si="42"/>
        <v>3.9716169806585153E-4</v>
      </c>
      <c r="CR7">
        <f t="shared" si="43"/>
        <v>1.5576859536317725E-4</v>
      </c>
      <c r="CS7">
        <f t="shared" si="44"/>
        <v>5.7167987912347612E-4</v>
      </c>
      <c r="CT7">
        <f t="shared" si="45"/>
        <v>2.508460363072905E-4</v>
      </c>
    </row>
    <row r="8" spans="1:98" x14ac:dyDescent="0.25">
      <c r="A8" s="14"/>
      <c r="B8" s="11"/>
      <c r="C8" s="1" t="s">
        <v>5</v>
      </c>
      <c r="D8" s="1">
        <v>0</v>
      </c>
      <c r="E8" s="1">
        <v>4.4873580400000002</v>
      </c>
      <c r="F8" s="1">
        <v>0.17425968</v>
      </c>
      <c r="G8" s="1">
        <v>22.39518095</v>
      </c>
      <c r="H8" s="1">
        <v>879.46743171000003</v>
      </c>
      <c r="I8" s="1">
        <v>263.52603377999998</v>
      </c>
      <c r="J8" s="1">
        <v>1.8865455799999999</v>
      </c>
      <c r="K8" s="1">
        <v>30.015904469999999</v>
      </c>
      <c r="L8" s="1">
        <v>4.4057420399999998</v>
      </c>
      <c r="M8" s="1">
        <v>224.27649792</v>
      </c>
      <c r="N8" s="1">
        <v>3.0283078400000001</v>
      </c>
      <c r="O8" s="1">
        <v>8.45208227</v>
      </c>
      <c r="P8" s="1">
        <v>3.3671125200000001</v>
      </c>
      <c r="Q8" s="1">
        <v>21.491781880000001</v>
      </c>
      <c r="R8" s="1">
        <v>1.4344272199999999</v>
      </c>
      <c r="S8" s="1">
        <v>2.46109936</v>
      </c>
      <c r="T8" s="1">
        <v>2.8234879300000002</v>
      </c>
      <c r="U8" s="1">
        <v>0.15208036</v>
      </c>
      <c r="V8" s="1">
        <v>20.074526110000001</v>
      </c>
      <c r="W8" s="1">
        <v>0.53528942000000002</v>
      </c>
      <c r="X8" s="1">
        <v>37.228250350000003</v>
      </c>
      <c r="Y8" s="1">
        <v>0.32058154</v>
      </c>
      <c r="Z8" s="1">
        <v>4.2963646200000003</v>
      </c>
      <c r="AA8" s="1">
        <v>2.1807673699999999</v>
      </c>
      <c r="AB8" s="1">
        <v>262.22228044000002</v>
      </c>
      <c r="AC8" s="1">
        <v>112.84427753</v>
      </c>
      <c r="AD8" s="1">
        <v>7.4690139100000001</v>
      </c>
      <c r="AE8" s="1">
        <v>105.38951319</v>
      </c>
      <c r="AF8" s="1">
        <v>1.89419526</v>
      </c>
      <c r="AG8" s="1">
        <v>0</v>
      </c>
      <c r="AH8" s="1">
        <v>4.65846334</v>
      </c>
      <c r="AI8" s="1">
        <v>15.02371911</v>
      </c>
      <c r="AJ8" s="1">
        <v>3.1855749800000002</v>
      </c>
      <c r="AK8" s="1">
        <v>71.524626100000006</v>
      </c>
      <c r="AL8" s="1">
        <v>0</v>
      </c>
      <c r="AM8" s="1">
        <v>16.465889440000002</v>
      </c>
      <c r="AN8" s="1">
        <v>2.1506061700000001</v>
      </c>
      <c r="AO8" s="1">
        <v>9.0461635499999993</v>
      </c>
      <c r="AP8" s="1">
        <v>1.31347298</v>
      </c>
      <c r="AQ8" s="1">
        <v>0.72249304000000003</v>
      </c>
      <c r="AR8" s="1">
        <v>2.6860581300000002</v>
      </c>
      <c r="AS8" s="1">
        <v>0.73593969000000004</v>
      </c>
      <c r="AT8" s="4">
        <v>0</v>
      </c>
      <c r="AU8" s="1">
        <v>19.674795190000001</v>
      </c>
      <c r="AV8" s="1">
        <v>2458.6632265799999</v>
      </c>
      <c r="AW8" s="1">
        <v>1263.77921406</v>
      </c>
      <c r="AX8" s="1">
        <v>1175.20921733</v>
      </c>
      <c r="AY8" s="4">
        <v>3356.30636254</v>
      </c>
      <c r="BB8" s="18"/>
      <c r="BC8">
        <f t="shared" si="1"/>
        <v>4614.4766264000009</v>
      </c>
      <c r="BD8" s="1" t="s">
        <v>5</v>
      </c>
      <c r="BE8">
        <f t="shared" si="4"/>
        <v>0</v>
      </c>
      <c r="BF8">
        <f t="shared" si="5"/>
        <v>9.7245222011251736E-4</v>
      </c>
      <c r="BG8">
        <f t="shared" si="6"/>
        <v>3.776369328713E-5</v>
      </c>
      <c r="BH8">
        <f t="shared" si="7"/>
        <v>4.8532439891177158E-3</v>
      </c>
      <c r="BI8">
        <f t="shared" si="8"/>
        <v>0.19058877157995693</v>
      </c>
      <c r="BJ8">
        <f t="shared" si="9"/>
        <v>5.7108542336596617E-2</v>
      </c>
      <c r="BK8">
        <f t="shared" si="10"/>
        <v>4.088319722342585E-4</v>
      </c>
      <c r="BL8">
        <f t="shared" si="11"/>
        <v>6.5047256493347989E-3</v>
      </c>
      <c r="BM8">
        <f t="shared" si="12"/>
        <v>9.5476527387617391E-4</v>
      </c>
      <c r="BN8">
        <f t="shared" si="13"/>
        <v>4.860280289142347E-2</v>
      </c>
      <c r="BO8">
        <f t="shared" si="14"/>
        <v>6.5626247247080425E-4</v>
      </c>
      <c r="BP8">
        <f t="shared" si="15"/>
        <v>1.8316448330552972E-3</v>
      </c>
      <c r="BQ8">
        <f t="shared" si="16"/>
        <v>7.2968459754164234E-4</v>
      </c>
      <c r="BR8">
        <f t="shared" si="17"/>
        <v>4.657469008953868E-3</v>
      </c>
      <c r="BS8">
        <f t="shared" si="18"/>
        <v>3.1085371887972331E-4</v>
      </c>
      <c r="BT8">
        <f t="shared" si="19"/>
        <v>5.3334311976351576E-4</v>
      </c>
      <c r="BU8">
        <f t="shared" si="20"/>
        <v>6.1187609312971067E-4</v>
      </c>
      <c r="BV8">
        <f t="shared" si="21"/>
        <v>3.2957228373404067E-5</v>
      </c>
      <c r="BW8">
        <f t="shared" si="22"/>
        <v>4.3503365029852166E-3</v>
      </c>
      <c r="BX8">
        <f t="shared" si="23"/>
        <v>1.1600219555508027E-4</v>
      </c>
      <c r="BY8">
        <f t="shared" si="24"/>
        <v>8.0677080770140876E-3</v>
      </c>
      <c r="BZ8">
        <f t="shared" si="25"/>
        <v>6.9473001155951844E-5</v>
      </c>
      <c r="CA8">
        <f t="shared" si="26"/>
        <v>9.3106216974205881E-4</v>
      </c>
      <c r="CB8">
        <f t="shared" si="27"/>
        <v>4.72592570417099E-4</v>
      </c>
      <c r="CC8">
        <f t="shared" si="28"/>
        <v>5.6826006862792065E-2</v>
      </c>
      <c r="CD8">
        <f t="shared" si="29"/>
        <v>2.4454404402961694E-2</v>
      </c>
      <c r="CE8">
        <f t="shared" si="30"/>
        <v>1.6186047768166887E-3</v>
      </c>
      <c r="CF8">
        <f t="shared" si="31"/>
        <v>2.2838887640486322E-2</v>
      </c>
      <c r="CG8">
        <f t="shared" si="32"/>
        <v>4.1048972903298951E-4</v>
      </c>
      <c r="CH8">
        <f t="shared" si="33"/>
        <v>0</v>
      </c>
      <c r="CI8">
        <f t="shared" si="34"/>
        <v>1.0095323299176217E-3</v>
      </c>
      <c r="CJ8">
        <f t="shared" si="35"/>
        <v>3.2557796531132942E-3</v>
      </c>
      <c r="CK8">
        <f t="shared" si="36"/>
        <v>6.9034372430774166E-4</v>
      </c>
      <c r="CL8">
        <f t="shared" si="37"/>
        <v>1.5500051661503415E-2</v>
      </c>
      <c r="CM8">
        <f t="shared" si="38"/>
        <v>0</v>
      </c>
      <c r="CN8">
        <f t="shared" si="39"/>
        <v>3.5683113759416569E-3</v>
      </c>
      <c r="CO8">
        <f t="shared" si="40"/>
        <v>4.660563578751514E-4</v>
      </c>
      <c r="CP8">
        <f t="shared" si="41"/>
        <v>1.960387771442109E-3</v>
      </c>
      <c r="CQ8">
        <f t="shared" si="42"/>
        <v>2.8464181018611213E-4</v>
      </c>
      <c r="CR8">
        <f t="shared" si="43"/>
        <v>1.5657096102004861E-4</v>
      </c>
      <c r="CS8">
        <f t="shared" si="44"/>
        <v>5.8209377735986875E-4</v>
      </c>
      <c r="CT8">
        <f t="shared" si="45"/>
        <v>1.5948497513013643E-4</v>
      </c>
    </row>
    <row r="9" spans="1:98" x14ac:dyDescent="0.25">
      <c r="A9" s="14"/>
      <c r="B9" s="11"/>
      <c r="C9" s="1" t="s">
        <v>6</v>
      </c>
      <c r="D9" s="1">
        <v>0</v>
      </c>
      <c r="E9" s="1">
        <v>17.095397349999999</v>
      </c>
      <c r="F9" s="1">
        <v>5.4682558400000003</v>
      </c>
      <c r="G9" s="1">
        <v>12.290539519999999</v>
      </c>
      <c r="H9" s="1">
        <v>29.310613629999999</v>
      </c>
      <c r="I9" s="1">
        <v>19.131642589999998</v>
      </c>
      <c r="J9" s="1">
        <v>669.04253368000002</v>
      </c>
      <c r="K9" s="1">
        <v>28.981637490000001</v>
      </c>
      <c r="L9" s="1">
        <v>13.90284647</v>
      </c>
      <c r="M9" s="1">
        <v>138.01064898999999</v>
      </c>
      <c r="N9" s="1">
        <v>38.59269784</v>
      </c>
      <c r="O9" s="1">
        <v>40.125939539999997</v>
      </c>
      <c r="P9" s="1">
        <v>16.067225029999999</v>
      </c>
      <c r="Q9" s="1">
        <v>17.694121389999999</v>
      </c>
      <c r="R9" s="1">
        <v>2.16340931</v>
      </c>
      <c r="S9" s="1">
        <v>5.2539769999999999</v>
      </c>
      <c r="T9" s="1">
        <v>3.7418423500000002</v>
      </c>
      <c r="U9" s="1">
        <v>0.22976012000000001</v>
      </c>
      <c r="V9" s="1">
        <v>3.7516044100000001</v>
      </c>
      <c r="W9" s="1">
        <v>1.23988111</v>
      </c>
      <c r="X9" s="1">
        <v>37.516283100000003</v>
      </c>
      <c r="Y9" s="1">
        <v>8.1553760000000003E-2</v>
      </c>
      <c r="Z9" s="1">
        <v>3.3870782099999999</v>
      </c>
      <c r="AA9" s="1">
        <v>2.6581560299999998</v>
      </c>
      <c r="AB9" s="1">
        <v>293.08576338</v>
      </c>
      <c r="AC9" s="1">
        <v>135.99101317</v>
      </c>
      <c r="AD9" s="1">
        <v>8.4543152799999994</v>
      </c>
      <c r="AE9" s="1">
        <v>311.40312276999998</v>
      </c>
      <c r="AF9" s="1">
        <v>0.75532690000000002</v>
      </c>
      <c r="AG9" s="1">
        <v>0</v>
      </c>
      <c r="AH9" s="1">
        <v>3.0675993099999999</v>
      </c>
      <c r="AI9" s="1">
        <v>22.749041829999999</v>
      </c>
      <c r="AJ9" s="1">
        <v>2.7201270499999999</v>
      </c>
      <c r="AK9" s="1">
        <v>63.298011340000002</v>
      </c>
      <c r="AL9" s="1">
        <v>0</v>
      </c>
      <c r="AM9" s="1">
        <v>10.987776849999999</v>
      </c>
      <c r="AN9" s="1">
        <v>1.9990114999999999</v>
      </c>
      <c r="AO9" s="1">
        <v>8.3589985599999999</v>
      </c>
      <c r="AP9" s="1">
        <v>0.86250607000000001</v>
      </c>
      <c r="AQ9" s="1">
        <v>0.65035430000000005</v>
      </c>
      <c r="AR9" s="1">
        <v>1.9689391199999999</v>
      </c>
      <c r="AS9" s="1">
        <v>0.53292899000000005</v>
      </c>
      <c r="AT9" s="4">
        <v>344.23999541000001</v>
      </c>
      <c r="AU9" s="1">
        <v>86.967642069999997</v>
      </c>
      <c r="AV9" s="1">
        <v>1060.4950169399999</v>
      </c>
      <c r="AW9" s="1">
        <v>217.33240502000001</v>
      </c>
      <c r="AX9" s="1">
        <v>411.95497444</v>
      </c>
      <c r="AY9" s="4">
        <v>2914.6926797000001</v>
      </c>
      <c r="BB9" s="18"/>
      <c r="BC9">
        <f t="shared" si="1"/>
        <v>3033.1174981200002</v>
      </c>
      <c r="BD9" s="1" t="s">
        <v>6</v>
      </c>
      <c r="BE9">
        <f t="shared" si="4"/>
        <v>0</v>
      </c>
      <c r="BF9">
        <f t="shared" si="5"/>
        <v>5.6362463243168591E-3</v>
      </c>
      <c r="BG9">
        <f t="shared" si="6"/>
        <v>1.8028499863224415E-3</v>
      </c>
      <c r="BH9">
        <f t="shared" si="7"/>
        <v>4.0521145414307144E-3</v>
      </c>
      <c r="BI9">
        <f t="shared" si="8"/>
        <v>9.6635272613630786E-3</v>
      </c>
      <c r="BJ9">
        <f t="shared" si="9"/>
        <v>6.3075837325320414E-3</v>
      </c>
      <c r="BK9">
        <f t="shared" si="10"/>
        <v>0.22057916783464168</v>
      </c>
      <c r="BL9">
        <f t="shared" si="11"/>
        <v>9.555065871323324E-3</v>
      </c>
      <c r="BM9">
        <f t="shared" si="12"/>
        <v>4.5836821285747493E-3</v>
      </c>
      <c r="BN9">
        <f t="shared" si="13"/>
        <v>4.5501253767960638E-2</v>
      </c>
      <c r="BO9">
        <f t="shared" si="14"/>
        <v>1.2723772773036551E-2</v>
      </c>
      <c r="BP9">
        <f t="shared" si="15"/>
        <v>1.3229273038341254E-2</v>
      </c>
      <c r="BQ9">
        <f t="shared" si="16"/>
        <v>5.2972642965394036E-3</v>
      </c>
      <c r="BR9">
        <f t="shared" si="17"/>
        <v>5.8336419215435096E-3</v>
      </c>
      <c r="BS9">
        <f t="shared" si="18"/>
        <v>7.1326261225980654E-4</v>
      </c>
      <c r="BT9">
        <f t="shared" si="19"/>
        <v>1.7322035836912161E-3</v>
      </c>
      <c r="BU9">
        <f t="shared" si="20"/>
        <v>1.233662181672581E-3</v>
      </c>
      <c r="BV9">
        <f t="shared" si="21"/>
        <v>7.5750484490762693E-5</v>
      </c>
      <c r="BW9">
        <f t="shared" si="22"/>
        <v>1.2368806722210187E-3</v>
      </c>
      <c r="BX9">
        <f t="shared" si="23"/>
        <v>4.0878110088663177E-4</v>
      </c>
      <c r="BY9">
        <f t="shared" si="24"/>
        <v>1.2368885519025723E-2</v>
      </c>
      <c r="BZ9">
        <f t="shared" si="25"/>
        <v>2.6887768129836381E-5</v>
      </c>
      <c r="CA9">
        <f t="shared" si="26"/>
        <v>1.1166986482058123E-3</v>
      </c>
      <c r="CB9">
        <f t="shared" si="27"/>
        <v>8.7637753290058479E-4</v>
      </c>
      <c r="CC9">
        <f t="shared" si="28"/>
        <v>9.6628555788445938E-2</v>
      </c>
      <c r="CD9">
        <f t="shared" si="29"/>
        <v>4.4835392382355954E-2</v>
      </c>
      <c r="CE9">
        <f t="shared" si="30"/>
        <v>2.7873352368446621E-3</v>
      </c>
      <c r="CF9">
        <f t="shared" si="31"/>
        <v>0.10266767540756835</v>
      </c>
      <c r="CG9">
        <f t="shared" si="32"/>
        <v>2.4902658748570403E-4</v>
      </c>
      <c r="CH9">
        <f t="shared" si="33"/>
        <v>0</v>
      </c>
      <c r="CI9">
        <f t="shared" si="34"/>
        <v>1.01136843920533E-3</v>
      </c>
      <c r="CJ9">
        <f t="shared" si="35"/>
        <v>7.5002177937717246E-3</v>
      </c>
      <c r="CK9">
        <f t="shared" si="36"/>
        <v>8.9680899328364318E-4</v>
      </c>
      <c r="CL9">
        <f t="shared" si="37"/>
        <v>2.0868961185721836E-2</v>
      </c>
      <c r="CM9">
        <f t="shared" si="38"/>
        <v>0</v>
      </c>
      <c r="CN9">
        <f t="shared" si="39"/>
        <v>3.6226017807785191E-3</v>
      </c>
      <c r="CO9">
        <f t="shared" si="40"/>
        <v>6.5906167540131101E-4</v>
      </c>
      <c r="CP9">
        <f t="shared" si="41"/>
        <v>2.7559099062865549E-3</v>
      </c>
      <c r="CQ9">
        <f t="shared" si="42"/>
        <v>2.8436289412942368E-4</v>
      </c>
      <c r="CR9">
        <f t="shared" si="43"/>
        <v>2.1441777326565998E-4</v>
      </c>
      <c r="CS9">
        <f t="shared" si="44"/>
        <v>6.4914699849919963E-4</v>
      </c>
      <c r="CT9">
        <f t="shared" si="45"/>
        <v>1.7570337790419341E-4</v>
      </c>
    </row>
    <row r="10" spans="1:98" x14ac:dyDescent="0.25">
      <c r="A10" s="14"/>
      <c r="B10" s="11"/>
      <c r="C10" s="1" t="s">
        <v>7</v>
      </c>
      <c r="D10" s="1">
        <v>0</v>
      </c>
      <c r="E10" s="1">
        <v>9.7121908599999998</v>
      </c>
      <c r="F10" s="1">
        <v>4.7837860299999999</v>
      </c>
      <c r="G10" s="1">
        <v>13.03629656</v>
      </c>
      <c r="H10" s="1">
        <v>85.502577790000004</v>
      </c>
      <c r="I10" s="1">
        <v>14.119332480000001</v>
      </c>
      <c r="J10" s="1">
        <v>55.049348289999998</v>
      </c>
      <c r="K10" s="1">
        <v>655.48461698999995</v>
      </c>
      <c r="L10" s="1">
        <v>10.960638510000001</v>
      </c>
      <c r="M10" s="1">
        <v>454.79403328000001</v>
      </c>
      <c r="N10" s="1">
        <v>189.07452925000001</v>
      </c>
      <c r="O10" s="1">
        <v>22.189959930000001</v>
      </c>
      <c r="P10" s="1">
        <v>16.512641169999998</v>
      </c>
      <c r="Q10" s="1">
        <v>47.851755740000002</v>
      </c>
      <c r="R10" s="1">
        <v>3.5691348000000001</v>
      </c>
      <c r="S10" s="1">
        <v>12.345236209999999</v>
      </c>
      <c r="T10" s="1">
        <v>15.564726950000001</v>
      </c>
      <c r="U10" s="1">
        <v>1.34158687</v>
      </c>
      <c r="V10" s="1">
        <v>134.20921435</v>
      </c>
      <c r="W10" s="1">
        <v>5.0185727499999997</v>
      </c>
      <c r="X10" s="1">
        <v>90.990957800000004</v>
      </c>
      <c r="Y10" s="1">
        <v>9.1586809900000006</v>
      </c>
      <c r="Z10" s="1">
        <v>5.5728688699999998</v>
      </c>
      <c r="AA10" s="1">
        <v>3.9757265099999999</v>
      </c>
      <c r="AB10" s="1">
        <v>256.60422155999998</v>
      </c>
      <c r="AC10" s="1">
        <v>196.34615782</v>
      </c>
      <c r="AD10" s="1">
        <v>9.6762528200000002</v>
      </c>
      <c r="AE10" s="1">
        <v>264.94469736000002</v>
      </c>
      <c r="AF10" s="1">
        <v>23.73374098</v>
      </c>
      <c r="AG10" s="1">
        <v>0</v>
      </c>
      <c r="AH10" s="1">
        <v>5.7496041199999999</v>
      </c>
      <c r="AI10" s="1">
        <v>31.450492969999999</v>
      </c>
      <c r="AJ10" s="1">
        <v>2.4394882600000001</v>
      </c>
      <c r="AK10" s="1">
        <v>87.565798220000005</v>
      </c>
      <c r="AL10" s="1">
        <v>0</v>
      </c>
      <c r="AM10" s="1">
        <v>15.101203379999999</v>
      </c>
      <c r="AN10" s="1">
        <v>9.0930744099999998</v>
      </c>
      <c r="AO10" s="1">
        <v>15.14961628</v>
      </c>
      <c r="AP10" s="1">
        <v>0.98390096000000005</v>
      </c>
      <c r="AQ10" s="1">
        <v>0.96369196000000001</v>
      </c>
      <c r="AR10" s="1">
        <v>3.64679566</v>
      </c>
      <c r="AS10" s="1">
        <v>0.90965079999999998</v>
      </c>
      <c r="AT10" s="4">
        <v>100.45332677</v>
      </c>
      <c r="AU10" s="1">
        <v>-17.929891000000001</v>
      </c>
      <c r="AV10" s="1">
        <v>1321.6229384799999</v>
      </c>
      <c r="AW10" s="1">
        <v>444.48773349999999</v>
      </c>
      <c r="AX10" s="1">
        <v>794.61176921000003</v>
      </c>
      <c r="AY10" s="4">
        <v>4537.9094515899997</v>
      </c>
      <c r="BB10" s="18"/>
      <c r="BC10">
        <f t="shared" si="1"/>
        <v>4106.7997390199998</v>
      </c>
      <c r="BD10" s="1" t="s">
        <v>7</v>
      </c>
      <c r="BE10">
        <f t="shared" si="4"/>
        <v>0</v>
      </c>
      <c r="BF10">
        <f t="shared" si="5"/>
        <v>2.3649049082479991E-3</v>
      </c>
      <c r="BG10">
        <f t="shared" si="6"/>
        <v>1.1648452162270635E-3</v>
      </c>
      <c r="BH10">
        <f t="shared" si="7"/>
        <v>3.1743200030276701E-3</v>
      </c>
      <c r="BI10">
        <f t="shared" si="8"/>
        <v>2.0819758260334206E-2</v>
      </c>
      <c r="BJ10">
        <f t="shared" si="9"/>
        <v>3.4380377367437152E-3</v>
      </c>
      <c r="BK10">
        <f t="shared" si="10"/>
        <v>1.3404439414700155E-2</v>
      </c>
      <c r="BL10">
        <f t="shared" si="11"/>
        <v>0.15960958864442154</v>
      </c>
      <c r="BM10">
        <f t="shared" si="12"/>
        <v>2.6689001671689801E-3</v>
      </c>
      <c r="BN10">
        <f t="shared" si="13"/>
        <v>0.11074171183923541</v>
      </c>
      <c r="BO10">
        <f t="shared" si="14"/>
        <v>4.6039383769688906E-2</v>
      </c>
      <c r="BP10">
        <f t="shared" si="15"/>
        <v>5.403224247621863E-3</v>
      </c>
      <c r="BQ10">
        <f t="shared" si="16"/>
        <v>4.0208050597423063E-3</v>
      </c>
      <c r="BR10">
        <f t="shared" si="17"/>
        <v>1.1651835682501237E-2</v>
      </c>
      <c r="BS10">
        <f t="shared" si="18"/>
        <v>8.690793383686388E-4</v>
      </c>
      <c r="BT10">
        <f t="shared" si="19"/>
        <v>3.0060477730881338E-3</v>
      </c>
      <c r="BU10">
        <f t="shared" si="20"/>
        <v>3.7899892712358529E-3</v>
      </c>
      <c r="BV10">
        <f t="shared" si="21"/>
        <v>3.2667452889245121E-4</v>
      </c>
      <c r="BW10">
        <f t="shared" si="22"/>
        <v>3.2679756228392615E-2</v>
      </c>
      <c r="BX10">
        <f t="shared" si="23"/>
        <v>1.2220154545927713E-3</v>
      </c>
      <c r="BY10">
        <f t="shared" si="24"/>
        <v>2.215617112650179E-2</v>
      </c>
      <c r="BZ10">
        <f t="shared" si="25"/>
        <v>2.2301260280554913E-3</v>
      </c>
      <c r="CA10">
        <f t="shared" si="26"/>
        <v>1.3569857855620312E-3</v>
      </c>
      <c r="CB10">
        <f t="shared" si="27"/>
        <v>9.6808385181906202E-4</v>
      </c>
      <c r="CC10">
        <f t="shared" si="28"/>
        <v>6.2482769520491178E-2</v>
      </c>
      <c r="CD10">
        <f t="shared" si="29"/>
        <v>4.7810015169342981E-2</v>
      </c>
      <c r="CE10">
        <f t="shared" si="30"/>
        <v>2.3561540457068967E-3</v>
      </c>
      <c r="CF10">
        <f t="shared" si="31"/>
        <v>6.451366372766533E-2</v>
      </c>
      <c r="CG10">
        <f t="shared" si="32"/>
        <v>5.7791327769158652E-3</v>
      </c>
      <c r="CH10">
        <f t="shared" si="33"/>
        <v>0</v>
      </c>
      <c r="CI10">
        <f t="shared" si="34"/>
        <v>1.4000205720700713E-3</v>
      </c>
      <c r="CJ10">
        <f t="shared" si="35"/>
        <v>7.6581511075835872E-3</v>
      </c>
      <c r="CK10">
        <f t="shared" si="36"/>
        <v>5.9401198378914181E-4</v>
      </c>
      <c r="CL10">
        <f t="shared" si="37"/>
        <v>2.1322149553095988E-2</v>
      </c>
      <c r="CM10">
        <f t="shared" si="38"/>
        <v>0</v>
      </c>
      <c r="CN10">
        <f t="shared" si="39"/>
        <v>3.6771219293988706E-3</v>
      </c>
      <c r="CO10">
        <f t="shared" si="40"/>
        <v>2.2141509174659364E-3</v>
      </c>
      <c r="CP10">
        <f t="shared" si="41"/>
        <v>3.6889104029248655E-3</v>
      </c>
      <c r="CQ10">
        <f t="shared" si="42"/>
        <v>2.3957850942953138E-4</v>
      </c>
      <c r="CR10">
        <f t="shared" si="43"/>
        <v>2.3465764615782423E-4</v>
      </c>
      <c r="CS10">
        <f t="shared" si="44"/>
        <v>8.8798964930055977E-4</v>
      </c>
      <c r="CT10">
        <f t="shared" si="45"/>
        <v>2.2149869918348361E-4</v>
      </c>
    </row>
    <row r="11" spans="1:98" x14ac:dyDescent="0.25">
      <c r="A11" s="14"/>
      <c r="B11" s="11"/>
      <c r="C11" s="1" t="s">
        <v>8</v>
      </c>
      <c r="D11" s="1">
        <v>2.0601886199999999</v>
      </c>
      <c r="E11" s="1">
        <v>46.898708829999997</v>
      </c>
      <c r="F11" s="1">
        <v>1.9372907699999999</v>
      </c>
      <c r="G11" s="1">
        <v>9.0359543799999997</v>
      </c>
      <c r="H11" s="1">
        <v>0.50294488000000004</v>
      </c>
      <c r="I11" s="1">
        <v>0.85715282999999998</v>
      </c>
      <c r="J11" s="1">
        <v>1.3602692000000001</v>
      </c>
      <c r="K11" s="1">
        <v>2.2115231400000002</v>
      </c>
      <c r="L11" s="1">
        <v>88.250778949999997</v>
      </c>
      <c r="M11" s="1">
        <v>77.542769179999993</v>
      </c>
      <c r="N11" s="1">
        <v>1.5278373000000001</v>
      </c>
      <c r="O11" s="1">
        <v>2.97928149</v>
      </c>
      <c r="P11" s="1">
        <v>5.5734381099999997</v>
      </c>
      <c r="Q11" s="1">
        <v>1.81171174</v>
      </c>
      <c r="R11" s="1">
        <v>2.19824595</v>
      </c>
      <c r="S11" s="1">
        <v>0.74004601999999997</v>
      </c>
      <c r="T11" s="1">
        <v>0.18178722</v>
      </c>
      <c r="U11" s="1">
        <v>1.0519384300000001</v>
      </c>
      <c r="V11" s="1">
        <v>1.47939916</v>
      </c>
      <c r="W11" s="1">
        <v>5.8017596500000002</v>
      </c>
      <c r="X11" s="1">
        <v>121.9589936</v>
      </c>
      <c r="Y11" s="1">
        <v>2.9697703299999998</v>
      </c>
      <c r="Z11" s="1">
        <v>5.6821529599999998</v>
      </c>
      <c r="AA11" s="1">
        <v>1.1517339499999999</v>
      </c>
      <c r="AB11" s="1">
        <v>84.077669180000001</v>
      </c>
      <c r="AC11" s="1">
        <v>159.90794958999999</v>
      </c>
      <c r="AD11" s="1">
        <v>1.2562783099999999</v>
      </c>
      <c r="AE11" s="1">
        <v>20.864242690000001</v>
      </c>
      <c r="AF11" s="1">
        <v>531.58349174</v>
      </c>
      <c r="AG11" s="1">
        <v>805.40689766000003</v>
      </c>
      <c r="AH11" s="1">
        <v>0.58445685999999997</v>
      </c>
      <c r="AI11" s="1">
        <v>33.840476649999999</v>
      </c>
      <c r="AJ11" s="1">
        <v>0.13778083999999999</v>
      </c>
      <c r="AK11" s="1">
        <v>79.401969649999998</v>
      </c>
      <c r="AL11" s="1">
        <v>0</v>
      </c>
      <c r="AM11" s="1">
        <v>15.45599019</v>
      </c>
      <c r="AN11" s="1">
        <v>3.7578158300000002</v>
      </c>
      <c r="AO11" s="1">
        <v>15.72806946</v>
      </c>
      <c r="AP11" s="1">
        <v>0.19663797</v>
      </c>
      <c r="AQ11" s="1">
        <v>4.8769775800000001</v>
      </c>
      <c r="AR11" s="1">
        <v>1.2062588000000001</v>
      </c>
      <c r="AS11" s="1">
        <v>0.40341334000000001</v>
      </c>
      <c r="AT11" s="4">
        <v>0</v>
      </c>
      <c r="AU11" s="1">
        <v>-7.9590252499999998</v>
      </c>
      <c r="AV11" s="1">
        <v>646.70098853000002</v>
      </c>
      <c r="AW11" s="1">
        <v>379.13451264000003</v>
      </c>
      <c r="AX11" s="1">
        <v>275.52550115000003</v>
      </c>
      <c r="AY11" s="4">
        <v>5643.6576493700004</v>
      </c>
      <c r="BB11" s="18"/>
      <c r="BC11">
        <f t="shared" si="1"/>
        <v>2791.15304156</v>
      </c>
      <c r="BD11" s="1" t="s">
        <v>8</v>
      </c>
      <c r="BE11">
        <f t="shared" si="4"/>
        <v>7.3811381508788292E-4</v>
      </c>
      <c r="BF11">
        <f t="shared" si="5"/>
        <v>1.6802628924921972E-2</v>
      </c>
      <c r="BG11">
        <f t="shared" si="6"/>
        <v>6.9408260355269919E-4</v>
      </c>
      <c r="BH11">
        <f t="shared" si="7"/>
        <v>3.2373554031095786E-3</v>
      </c>
      <c r="BI11">
        <f t="shared" si="8"/>
        <v>1.8019251273978861E-4</v>
      </c>
      <c r="BJ11">
        <f t="shared" si="9"/>
        <v>3.0709632085273606E-4</v>
      </c>
      <c r="BK11">
        <f t="shared" si="10"/>
        <v>4.8735027415040404E-4</v>
      </c>
      <c r="BL11">
        <f t="shared" si="11"/>
        <v>7.9233317094069497E-4</v>
      </c>
      <c r="BM11">
        <f t="shared" si="12"/>
        <v>3.161803657339974E-2</v>
      </c>
      <c r="BN11">
        <f t="shared" si="13"/>
        <v>2.7781625738680621E-2</v>
      </c>
      <c r="BO11">
        <f t="shared" si="14"/>
        <v>5.4738571380739422E-4</v>
      </c>
      <c r="BP11">
        <f t="shared" si="15"/>
        <v>1.0674016958722025E-3</v>
      </c>
      <c r="BQ11">
        <f t="shared" si="16"/>
        <v>1.9968228280613934E-3</v>
      </c>
      <c r="BR11">
        <f t="shared" si="17"/>
        <v>6.4909079259495512E-4</v>
      </c>
      <c r="BS11">
        <f t="shared" si="18"/>
        <v>7.8757628738672857E-4</v>
      </c>
      <c r="BT11">
        <f t="shared" si="19"/>
        <v>2.6513989343500194E-4</v>
      </c>
      <c r="BU11">
        <f t="shared" si="20"/>
        <v>6.5129793061579141E-5</v>
      </c>
      <c r="BV11">
        <f t="shared" si="21"/>
        <v>3.7688310685108918E-4</v>
      </c>
      <c r="BW11">
        <f t="shared" si="22"/>
        <v>5.3003154537636921E-4</v>
      </c>
      <c r="BX11">
        <f t="shared" si="23"/>
        <v>2.0786246986862983E-3</v>
      </c>
      <c r="BY11">
        <f t="shared" si="24"/>
        <v>4.3694842878209232E-2</v>
      </c>
      <c r="BZ11">
        <f t="shared" si="25"/>
        <v>1.0639940862361918E-3</v>
      </c>
      <c r="CA11">
        <f t="shared" si="26"/>
        <v>2.0357726270803819E-3</v>
      </c>
      <c r="CB11">
        <f t="shared" si="27"/>
        <v>4.1263733405183891E-4</v>
      </c>
      <c r="CC11">
        <f t="shared" si="28"/>
        <v>3.0122916202763375E-2</v>
      </c>
      <c r="CD11">
        <f t="shared" si="29"/>
        <v>5.7291000245771558E-2</v>
      </c>
      <c r="CE11">
        <f t="shared" si="30"/>
        <v>4.5009295129795352E-4</v>
      </c>
      <c r="CF11">
        <f t="shared" si="31"/>
        <v>7.4751338888743961E-3</v>
      </c>
      <c r="CG11">
        <f t="shared" si="32"/>
        <v>0.19045300770856094</v>
      </c>
      <c r="CH11">
        <f t="shared" si="33"/>
        <v>0.28855705354295119</v>
      </c>
      <c r="CI11">
        <f t="shared" si="34"/>
        <v>2.0939620697879824E-4</v>
      </c>
      <c r="CJ11">
        <f t="shared" si="35"/>
        <v>1.2124192455991686E-2</v>
      </c>
      <c r="CK11">
        <f t="shared" si="36"/>
        <v>4.9363412879357224E-5</v>
      </c>
      <c r="CL11">
        <f t="shared" si="37"/>
        <v>2.8447730549959933E-2</v>
      </c>
      <c r="CM11">
        <f t="shared" si="38"/>
        <v>0</v>
      </c>
      <c r="CN11">
        <f t="shared" si="39"/>
        <v>5.5374929141690883E-3</v>
      </c>
      <c r="CO11">
        <f t="shared" si="40"/>
        <v>1.3463309872466626E-3</v>
      </c>
      <c r="CP11">
        <f t="shared" si="41"/>
        <v>5.6349720799291764E-3</v>
      </c>
      <c r="CQ11">
        <f t="shared" si="42"/>
        <v>7.0450443623864238E-5</v>
      </c>
      <c r="CR11">
        <f t="shared" si="43"/>
        <v>1.7472985204975411E-3</v>
      </c>
      <c r="CS11">
        <f t="shared" si="44"/>
        <v>4.3217221773185586E-4</v>
      </c>
      <c r="CT11">
        <f t="shared" si="45"/>
        <v>1.4453286293987259E-4</v>
      </c>
    </row>
    <row r="12" spans="1:98" x14ac:dyDescent="0.25">
      <c r="A12" s="14"/>
      <c r="B12" s="11"/>
      <c r="C12" s="1" t="s">
        <v>9</v>
      </c>
      <c r="D12" s="1">
        <v>89.481873949999994</v>
      </c>
      <c r="E12" s="1">
        <v>85.014258909999995</v>
      </c>
      <c r="F12" s="1">
        <v>92.494701899999995</v>
      </c>
      <c r="G12" s="1">
        <v>229.29413779999999</v>
      </c>
      <c r="H12" s="1">
        <v>80.022292179999994</v>
      </c>
      <c r="I12" s="1">
        <v>16.589655449999999</v>
      </c>
      <c r="J12" s="1">
        <v>12.90430372</v>
      </c>
      <c r="K12" s="1">
        <v>125.4864481</v>
      </c>
      <c r="L12" s="1">
        <v>796.30670067999995</v>
      </c>
      <c r="M12" s="1">
        <v>5541.11871668</v>
      </c>
      <c r="N12" s="1">
        <v>166.65140002000001</v>
      </c>
      <c r="O12" s="1">
        <v>78.112376139999995</v>
      </c>
      <c r="P12" s="1">
        <v>63.85857335</v>
      </c>
      <c r="Q12" s="1">
        <v>40.721373479999997</v>
      </c>
      <c r="R12" s="1">
        <v>7.99476795</v>
      </c>
      <c r="S12" s="1">
        <v>26.513205620000001</v>
      </c>
      <c r="T12" s="1">
        <v>31.942281999999999</v>
      </c>
      <c r="U12" s="1">
        <v>7.85795084</v>
      </c>
      <c r="V12" s="1">
        <v>58.025955799999998</v>
      </c>
      <c r="W12" s="1">
        <v>20.302227500000001</v>
      </c>
      <c r="X12" s="1">
        <v>738.29957532000003</v>
      </c>
      <c r="Y12" s="1">
        <v>66.332144779999993</v>
      </c>
      <c r="Z12" s="1">
        <v>23.596686680000001</v>
      </c>
      <c r="AA12" s="1">
        <v>14.21640691</v>
      </c>
      <c r="AB12" s="1">
        <v>792.85460469999998</v>
      </c>
      <c r="AC12" s="1">
        <v>718.43083149999995</v>
      </c>
      <c r="AD12" s="1">
        <v>63.866955310000002</v>
      </c>
      <c r="AE12" s="1">
        <v>568.56995129999996</v>
      </c>
      <c r="AF12" s="1">
        <v>367.97858671</v>
      </c>
      <c r="AG12" s="1">
        <v>455.28897093</v>
      </c>
      <c r="AH12" s="1">
        <v>13.68115607</v>
      </c>
      <c r="AI12" s="1">
        <v>174.52225697</v>
      </c>
      <c r="AJ12" s="1">
        <v>5.8786144199999999</v>
      </c>
      <c r="AK12" s="1">
        <v>376.99415426000002</v>
      </c>
      <c r="AL12" s="1">
        <v>0</v>
      </c>
      <c r="AM12" s="1">
        <v>110.21198386</v>
      </c>
      <c r="AN12" s="1">
        <v>13.82602666</v>
      </c>
      <c r="AO12" s="1">
        <v>59.531132049999997</v>
      </c>
      <c r="AP12" s="1">
        <v>1.1201476299999999</v>
      </c>
      <c r="AQ12" s="1">
        <v>1.9919804800000001</v>
      </c>
      <c r="AR12" s="1">
        <v>11.505774130000001</v>
      </c>
      <c r="AS12" s="1">
        <v>3.7419540499999999</v>
      </c>
      <c r="AT12" s="4">
        <v>0</v>
      </c>
      <c r="AU12" s="1">
        <v>-196.41881708</v>
      </c>
      <c r="AV12" s="1">
        <v>3195.6440756799998</v>
      </c>
      <c r="AW12" s="1">
        <v>1194.94853128</v>
      </c>
      <c r="AX12" s="1">
        <v>2197.1143614799998</v>
      </c>
      <c r="AY12" s="4">
        <v>17901.23235468</v>
      </c>
      <c r="BB12" s="18"/>
      <c r="BC12">
        <f t="shared" si="1"/>
        <v>15348.777172470001</v>
      </c>
      <c r="BD12" s="1" t="s">
        <v>9</v>
      </c>
      <c r="BE12">
        <f t="shared" si="4"/>
        <v>5.8299024700480505E-3</v>
      </c>
      <c r="BF12">
        <f t="shared" si="5"/>
        <v>5.5388294425489457E-3</v>
      </c>
      <c r="BG12">
        <f t="shared" si="6"/>
        <v>6.0261935436720718E-3</v>
      </c>
      <c r="BH12">
        <f t="shared" si="7"/>
        <v>1.4938918926471119E-2</v>
      </c>
      <c r="BI12">
        <f t="shared" si="8"/>
        <v>5.2135939743480171E-3</v>
      </c>
      <c r="BJ12">
        <f t="shared" si="9"/>
        <v>1.0808454161257662E-3</v>
      </c>
      <c r="BK12">
        <f t="shared" si="10"/>
        <v>8.4073822787300101E-4</v>
      </c>
      <c r="BL12">
        <f t="shared" si="11"/>
        <v>8.1756642037305767E-3</v>
      </c>
      <c r="BM12">
        <f t="shared" si="12"/>
        <v>5.1880791005831921E-2</v>
      </c>
      <c r="BN12">
        <f t="shared" si="13"/>
        <v>0.36101369212778112</v>
      </c>
      <c r="BO12">
        <f t="shared" si="14"/>
        <v>1.0857633682956232E-2</v>
      </c>
      <c r="BP12">
        <f t="shared" si="15"/>
        <v>5.0891595638058095E-3</v>
      </c>
      <c r="BQ12">
        <f t="shared" si="16"/>
        <v>4.1604990829196822E-3</v>
      </c>
      <c r="BR12">
        <f t="shared" si="17"/>
        <v>2.6530695587293428E-3</v>
      </c>
      <c r="BS12">
        <f t="shared" si="18"/>
        <v>5.2087328261821674E-4</v>
      </c>
      <c r="BT12">
        <f t="shared" si="19"/>
        <v>1.7273822743061795E-3</v>
      </c>
      <c r="BU12">
        <f t="shared" si="20"/>
        <v>2.0810962098852131E-3</v>
      </c>
      <c r="BV12">
        <f t="shared" si="21"/>
        <v>5.1195940573651967E-4</v>
      </c>
      <c r="BW12">
        <f t="shared" si="22"/>
        <v>3.7804937258504858E-3</v>
      </c>
      <c r="BX12">
        <f t="shared" si="23"/>
        <v>1.3227260564062815E-3</v>
      </c>
      <c r="BY12">
        <f t="shared" si="24"/>
        <v>4.8101524116477168E-2</v>
      </c>
      <c r="BZ12">
        <f t="shared" si="25"/>
        <v>4.3216566397859492E-3</v>
      </c>
      <c r="CA12">
        <f t="shared" si="26"/>
        <v>1.5373659031498407E-3</v>
      </c>
      <c r="CB12">
        <f t="shared" si="27"/>
        <v>9.262240731137167E-4</v>
      </c>
      <c r="CC12">
        <f t="shared" si="28"/>
        <v>5.165588084255248E-2</v>
      </c>
      <c r="CD12">
        <f t="shared" si="29"/>
        <v>4.6807040289085548E-2</v>
      </c>
      <c r="CE12">
        <f t="shared" si="30"/>
        <v>4.1610451824496851E-3</v>
      </c>
      <c r="CF12">
        <f t="shared" si="31"/>
        <v>3.7043338691488924E-2</v>
      </c>
      <c r="CG12">
        <f t="shared" si="32"/>
        <v>2.3974456243329712E-2</v>
      </c>
      <c r="CH12">
        <f t="shared" si="33"/>
        <v>2.9662882313948705E-2</v>
      </c>
      <c r="CI12">
        <f t="shared" si="34"/>
        <v>8.9135153349798491E-4</v>
      </c>
      <c r="CJ12">
        <f t="shared" si="35"/>
        <v>1.1370433944602963E-2</v>
      </c>
      <c r="CK12">
        <f t="shared" si="36"/>
        <v>3.8300213456379106E-4</v>
      </c>
      <c r="CL12">
        <f t="shared" si="37"/>
        <v>2.4561836426695106E-2</v>
      </c>
      <c r="CM12">
        <f t="shared" si="38"/>
        <v>0</v>
      </c>
      <c r="CN12">
        <f t="shared" si="39"/>
        <v>7.180505822814297E-3</v>
      </c>
      <c r="CO12">
        <f t="shared" si="40"/>
        <v>9.0079010885627756E-4</v>
      </c>
      <c r="CP12">
        <f t="shared" si="41"/>
        <v>3.8785586226879826E-3</v>
      </c>
      <c r="CQ12">
        <f t="shared" si="42"/>
        <v>7.2979600746900434E-5</v>
      </c>
      <c r="CR12">
        <f t="shared" si="43"/>
        <v>1.2978105406161424E-4</v>
      </c>
      <c r="CS12">
        <f t="shared" si="44"/>
        <v>7.496215496982444E-4</v>
      </c>
      <c r="CT12">
        <f t="shared" si="45"/>
        <v>2.4379492958642165E-4</v>
      </c>
    </row>
    <row r="13" spans="1:98" x14ac:dyDescent="0.25">
      <c r="A13" s="14"/>
      <c r="B13" s="11"/>
      <c r="C13" s="1" t="s">
        <v>10</v>
      </c>
      <c r="D13" s="1">
        <v>1091.2558193299999</v>
      </c>
      <c r="E13" s="1">
        <v>217.44321029</v>
      </c>
      <c r="F13" s="1">
        <v>6.19573033</v>
      </c>
      <c r="G13" s="1">
        <v>88.443059629999993</v>
      </c>
      <c r="H13" s="1">
        <v>5.38869446</v>
      </c>
      <c r="I13" s="1">
        <v>5.66076683</v>
      </c>
      <c r="J13" s="1">
        <v>1.8411168099999999</v>
      </c>
      <c r="K13" s="1">
        <v>14.662783449999999</v>
      </c>
      <c r="L13" s="1">
        <v>778.16395254999998</v>
      </c>
      <c r="M13" s="1">
        <v>183.90647781999999</v>
      </c>
      <c r="N13" s="1">
        <v>3821.9622697999998</v>
      </c>
      <c r="O13" s="1">
        <v>43.970308189999997</v>
      </c>
      <c r="P13" s="1">
        <v>98.386424500000004</v>
      </c>
      <c r="Q13" s="1">
        <v>59.126297809999997</v>
      </c>
      <c r="R13" s="1">
        <v>8.1238896199999999</v>
      </c>
      <c r="S13" s="1">
        <v>26.45075434</v>
      </c>
      <c r="T13" s="1">
        <v>9.01579145</v>
      </c>
      <c r="U13" s="1">
        <v>4.8876760600000004</v>
      </c>
      <c r="V13" s="1">
        <v>723.08469845000002</v>
      </c>
      <c r="W13" s="1">
        <v>21.68531372</v>
      </c>
      <c r="X13" s="1">
        <v>1105.5115963200001</v>
      </c>
      <c r="Y13" s="1">
        <v>87.444379459999993</v>
      </c>
      <c r="Z13" s="1">
        <v>16.254584810000001</v>
      </c>
      <c r="AA13" s="1">
        <v>4.3253636699999998</v>
      </c>
      <c r="AB13" s="1">
        <v>301.83676417999999</v>
      </c>
      <c r="AC13" s="1">
        <v>692.16663805999997</v>
      </c>
      <c r="AD13" s="1">
        <v>40.907314069999998</v>
      </c>
      <c r="AE13" s="1">
        <v>11.999307330000001</v>
      </c>
      <c r="AF13" s="1">
        <v>467.04540035000002</v>
      </c>
      <c r="AG13" s="1">
        <v>1.4707497</v>
      </c>
      <c r="AH13" s="1">
        <v>2.9521943799999999</v>
      </c>
      <c r="AI13" s="1">
        <v>360.64189027999998</v>
      </c>
      <c r="AJ13" s="1">
        <v>0.80606310000000003</v>
      </c>
      <c r="AK13" s="1">
        <v>296.79510685999998</v>
      </c>
      <c r="AL13" s="1">
        <v>0</v>
      </c>
      <c r="AM13" s="1">
        <v>58.465054549999998</v>
      </c>
      <c r="AN13" s="1">
        <v>15.38067083</v>
      </c>
      <c r="AO13" s="1">
        <v>37.76903385</v>
      </c>
      <c r="AP13" s="1">
        <v>0.67984853999999995</v>
      </c>
      <c r="AQ13" s="1">
        <v>4.4827663099999997</v>
      </c>
      <c r="AR13" s="1">
        <v>8.0731803000000006</v>
      </c>
      <c r="AS13" s="1">
        <v>1.7338234800000001</v>
      </c>
      <c r="AT13" s="4">
        <v>0</v>
      </c>
      <c r="AU13" s="1">
        <v>63.892591750000001</v>
      </c>
      <c r="AV13" s="1">
        <v>876.34831096000005</v>
      </c>
      <c r="AW13" s="1">
        <v>0</v>
      </c>
      <c r="AX13" s="1">
        <v>812.45571921999999</v>
      </c>
      <c r="AY13" s="4">
        <v>15213.68055861</v>
      </c>
      <c r="BB13" s="18"/>
      <c r="BC13">
        <f t="shared" si="1"/>
        <v>11602.745076829997</v>
      </c>
      <c r="BD13" s="1" t="s">
        <v>10</v>
      </c>
      <c r="BE13">
        <f t="shared" si="4"/>
        <v>9.405152074823861E-2</v>
      </c>
      <c r="BF13">
        <f t="shared" si="5"/>
        <v>1.8740669457973473E-2</v>
      </c>
      <c r="BG13">
        <f t="shared" si="6"/>
        <v>5.3398831819312408E-4</v>
      </c>
      <c r="BH13">
        <f t="shared" si="7"/>
        <v>7.6225978459714336E-3</v>
      </c>
      <c r="BI13">
        <f t="shared" si="8"/>
        <v>4.6443272038794572E-4</v>
      </c>
      <c r="BJ13">
        <f t="shared" si="9"/>
        <v>4.8788168597310825E-4</v>
      </c>
      <c r="BK13">
        <f t="shared" si="10"/>
        <v>1.586794157596897E-4</v>
      </c>
      <c r="BL13">
        <f t="shared" si="11"/>
        <v>1.2637340002652235E-3</v>
      </c>
      <c r="BM13">
        <f t="shared" si="12"/>
        <v>6.7067228263417406E-2</v>
      </c>
      <c r="BN13">
        <f t="shared" si="13"/>
        <v>1.5850255831893648E-2</v>
      </c>
      <c r="BO13">
        <f t="shared" si="14"/>
        <v>0.32940155493308521</v>
      </c>
      <c r="BP13">
        <f t="shared" si="15"/>
        <v>3.7896470101550475E-3</v>
      </c>
      <c r="BQ13">
        <f t="shared" si="16"/>
        <v>8.479581672139979E-3</v>
      </c>
      <c r="BR13">
        <f t="shared" si="17"/>
        <v>5.0958887244770858E-3</v>
      </c>
      <c r="BS13">
        <f t="shared" si="18"/>
        <v>7.0016962074112381E-4</v>
      </c>
      <c r="BT13">
        <f t="shared" si="19"/>
        <v>2.2796979649945606E-3</v>
      </c>
      <c r="BU13">
        <f t="shared" si="20"/>
        <v>7.7703951869148688E-4</v>
      </c>
      <c r="BV13">
        <f t="shared" si="21"/>
        <v>4.2125169756253663E-4</v>
      </c>
      <c r="BW13">
        <f t="shared" si="22"/>
        <v>6.2320140075641052E-2</v>
      </c>
      <c r="BX13">
        <f t="shared" si="23"/>
        <v>1.8689813123020605E-3</v>
      </c>
      <c r="BY13">
        <f t="shared" si="24"/>
        <v>9.5280176285837917E-2</v>
      </c>
      <c r="BZ13">
        <f t="shared" si="25"/>
        <v>7.5365250965154186E-3</v>
      </c>
      <c r="CA13">
        <f t="shared" si="26"/>
        <v>1.4009257897477604E-3</v>
      </c>
      <c r="CB13">
        <f t="shared" si="27"/>
        <v>3.7278796020758035E-4</v>
      </c>
      <c r="CC13">
        <f t="shared" si="28"/>
        <v>2.601425457349316E-2</v>
      </c>
      <c r="CD13">
        <f t="shared" si="29"/>
        <v>5.9655420633365139E-2</v>
      </c>
      <c r="CE13">
        <f t="shared" si="30"/>
        <v>3.5256582644127474E-3</v>
      </c>
      <c r="CF13">
        <f t="shared" si="31"/>
        <v>1.0341783130236927E-3</v>
      </c>
      <c r="CG13">
        <f t="shared" si="32"/>
        <v>4.025300885759029E-2</v>
      </c>
      <c r="CH13">
        <f t="shared" si="33"/>
        <v>1.2675877046863687E-4</v>
      </c>
      <c r="CI13">
        <f t="shared" si="34"/>
        <v>2.5443930384158483E-4</v>
      </c>
      <c r="CJ13">
        <f t="shared" si="35"/>
        <v>3.108246263206978E-2</v>
      </c>
      <c r="CK13">
        <f t="shared" si="36"/>
        <v>6.9471758162614544E-5</v>
      </c>
      <c r="CL13">
        <f t="shared" si="37"/>
        <v>2.5579731769913867E-2</v>
      </c>
      <c r="CM13">
        <f t="shared" si="38"/>
        <v>0</v>
      </c>
      <c r="CN13">
        <f t="shared" si="39"/>
        <v>5.038898481597367E-3</v>
      </c>
      <c r="CO13">
        <f t="shared" si="40"/>
        <v>1.3256062016491512E-3</v>
      </c>
      <c r="CP13">
        <f t="shared" si="41"/>
        <v>3.2551808731385947E-3</v>
      </c>
      <c r="CQ13">
        <f t="shared" si="42"/>
        <v>5.8593766862776093E-5</v>
      </c>
      <c r="CR13">
        <f t="shared" si="43"/>
        <v>3.8635394299507811E-4</v>
      </c>
      <c r="CS13">
        <f t="shared" si="44"/>
        <v>6.9579916188296416E-4</v>
      </c>
      <c r="CT13">
        <f t="shared" si="45"/>
        <v>1.4943217906789524E-4</v>
      </c>
    </row>
    <row r="14" spans="1:98" x14ac:dyDescent="0.25">
      <c r="A14" s="14"/>
      <c r="B14" s="11"/>
      <c r="C14" s="1" t="s">
        <v>11</v>
      </c>
      <c r="D14" s="1">
        <v>45.597791100000002</v>
      </c>
      <c r="E14" s="1">
        <v>71.795125400000003</v>
      </c>
      <c r="F14" s="1">
        <v>9.7334479300000005</v>
      </c>
      <c r="G14" s="1">
        <v>22.033659310000001</v>
      </c>
      <c r="H14" s="1">
        <v>10.62904618</v>
      </c>
      <c r="I14" s="1">
        <v>4.8264788200000002</v>
      </c>
      <c r="J14" s="1">
        <v>36.005621419999997</v>
      </c>
      <c r="K14" s="1">
        <v>28.080443580000001</v>
      </c>
      <c r="L14" s="1">
        <v>61.109742619999999</v>
      </c>
      <c r="M14" s="1">
        <v>206.05997572000001</v>
      </c>
      <c r="N14" s="1">
        <v>2029.5877084199999</v>
      </c>
      <c r="O14" s="1">
        <v>991.39151289999995</v>
      </c>
      <c r="P14" s="1">
        <v>151.55905175000001</v>
      </c>
      <c r="Q14" s="1">
        <v>56.798207570000002</v>
      </c>
      <c r="R14" s="1">
        <v>6.6357294900000001</v>
      </c>
      <c r="S14" s="1">
        <v>34.274119030000001</v>
      </c>
      <c r="T14" s="1">
        <v>25.2353092</v>
      </c>
      <c r="U14" s="1">
        <v>3.2413027900000002</v>
      </c>
      <c r="V14" s="1">
        <v>123.13372552</v>
      </c>
      <c r="W14" s="1">
        <v>5.0870182000000002</v>
      </c>
      <c r="X14" s="1">
        <v>150.24320008000001</v>
      </c>
      <c r="Y14" s="1">
        <v>36.496922269999999</v>
      </c>
      <c r="Z14" s="1">
        <v>8.18101156</v>
      </c>
      <c r="AA14" s="1">
        <v>3.5539837799999998</v>
      </c>
      <c r="AB14" s="1">
        <v>230.60582267999999</v>
      </c>
      <c r="AC14" s="1">
        <v>266.88554988999999</v>
      </c>
      <c r="AD14" s="1">
        <v>15.59913304</v>
      </c>
      <c r="AE14" s="1">
        <v>8.0361526399999992</v>
      </c>
      <c r="AF14" s="1">
        <v>6.8722289999999999</v>
      </c>
      <c r="AG14" s="1">
        <v>3.911887E-2</v>
      </c>
      <c r="AH14" s="1">
        <v>4.3632999699999999</v>
      </c>
      <c r="AI14" s="1">
        <v>44.762958099999999</v>
      </c>
      <c r="AJ14" s="1">
        <v>3.2186119799999999</v>
      </c>
      <c r="AK14" s="1">
        <v>139.04061748999999</v>
      </c>
      <c r="AL14" s="1">
        <v>0</v>
      </c>
      <c r="AM14" s="1">
        <v>25.514452550000001</v>
      </c>
      <c r="AN14" s="1">
        <v>4.8323269299999998</v>
      </c>
      <c r="AO14" s="1">
        <v>20.610047420000001</v>
      </c>
      <c r="AP14" s="1">
        <v>0.39864010999999999</v>
      </c>
      <c r="AQ14" s="1">
        <v>3.8281900100000001</v>
      </c>
      <c r="AR14" s="1">
        <v>3.2433967400000001</v>
      </c>
      <c r="AS14" s="1">
        <v>1.8158139200000001</v>
      </c>
      <c r="AT14" s="4">
        <v>413.68620320999997</v>
      </c>
      <c r="AU14" s="1">
        <v>151.19560218999999</v>
      </c>
      <c r="AV14" s="1">
        <v>1507.3319308299999</v>
      </c>
      <c r="AW14" s="1">
        <v>73.521628280000002</v>
      </c>
      <c r="AX14" s="1">
        <v>868.92849716000001</v>
      </c>
      <c r="AY14" s="4">
        <v>6664.1246757500003</v>
      </c>
      <c r="BB14" s="18"/>
      <c r="BC14">
        <f t="shared" si="1"/>
        <v>6408.2884268099997</v>
      </c>
      <c r="BD14" s="1" t="s">
        <v>11</v>
      </c>
      <c r="BE14">
        <f t="shared" si="4"/>
        <v>7.1154398901951826E-3</v>
      </c>
      <c r="BF14">
        <f t="shared" si="5"/>
        <v>1.1203479091177408E-2</v>
      </c>
      <c r="BG14">
        <f t="shared" si="6"/>
        <v>1.518884182752873E-3</v>
      </c>
      <c r="BH14">
        <f t="shared" si="7"/>
        <v>3.4383064310618428E-3</v>
      </c>
      <c r="BI14">
        <f t="shared" si="8"/>
        <v>1.6586404156735284E-3</v>
      </c>
      <c r="BJ14">
        <f t="shared" si="9"/>
        <v>7.5316192071001823E-4</v>
      </c>
      <c r="BK14">
        <f t="shared" si="10"/>
        <v>5.6186018827375627E-3</v>
      </c>
      <c r="BL14">
        <f t="shared" si="11"/>
        <v>4.3818944638199199E-3</v>
      </c>
      <c r="BM14">
        <f t="shared" si="12"/>
        <v>9.5360474669552268E-3</v>
      </c>
      <c r="BN14">
        <f t="shared" si="13"/>
        <v>3.2155228041534201E-2</v>
      </c>
      <c r="BO14">
        <f t="shared" si="14"/>
        <v>0.3167129150942905</v>
      </c>
      <c r="BP14">
        <f t="shared" si="15"/>
        <v>0.15470457115387792</v>
      </c>
      <c r="BQ14">
        <f t="shared" si="16"/>
        <v>2.3650472896308918E-2</v>
      </c>
      <c r="BR14">
        <f t="shared" si="17"/>
        <v>8.8632414440611793E-3</v>
      </c>
      <c r="BS14">
        <f t="shared" si="18"/>
        <v>1.0354917020024361E-3</v>
      </c>
      <c r="BT14">
        <f t="shared" si="19"/>
        <v>5.3484045578549924E-3</v>
      </c>
      <c r="BU14">
        <f t="shared" si="20"/>
        <v>3.9379171971137316E-3</v>
      </c>
      <c r="BV14">
        <f t="shared" si="21"/>
        <v>5.0579851812529886E-4</v>
      </c>
      <c r="BW14">
        <f t="shared" si="22"/>
        <v>1.9214760216605151E-2</v>
      </c>
      <c r="BX14">
        <f t="shared" si="23"/>
        <v>7.9381854579418194E-4</v>
      </c>
      <c r="BY14">
        <f t="shared" si="24"/>
        <v>2.3445136996555257E-2</v>
      </c>
      <c r="BZ14">
        <f t="shared" si="25"/>
        <v>5.6952683523590879E-3</v>
      </c>
      <c r="CA14">
        <f t="shared" si="26"/>
        <v>1.2766297356051511E-3</v>
      </c>
      <c r="CB14">
        <f t="shared" si="27"/>
        <v>5.5459173234640867E-4</v>
      </c>
      <c r="CC14">
        <f t="shared" si="28"/>
        <v>3.5985556098759107E-2</v>
      </c>
      <c r="CD14">
        <f t="shared" si="29"/>
        <v>4.1646931616474342E-2</v>
      </c>
      <c r="CE14">
        <f t="shared" si="30"/>
        <v>2.4342120705333386E-3</v>
      </c>
      <c r="CF14">
        <f t="shared" si="31"/>
        <v>1.2540248042487592E-3</v>
      </c>
      <c r="CG14">
        <f t="shared" si="32"/>
        <v>1.0723969556752529E-3</v>
      </c>
      <c r="CH14">
        <f t="shared" si="33"/>
        <v>6.1044178093390055E-6</v>
      </c>
      <c r="CI14">
        <f t="shared" si="34"/>
        <v>6.8088383034469932E-4</v>
      </c>
      <c r="CJ14">
        <f t="shared" si="35"/>
        <v>6.9851659473889631E-3</v>
      </c>
      <c r="CK14">
        <f t="shared" si="36"/>
        <v>5.0225766470411541E-4</v>
      </c>
      <c r="CL14">
        <f t="shared" si="37"/>
        <v>2.1696997424195747E-2</v>
      </c>
      <c r="CM14">
        <f t="shared" si="38"/>
        <v>0</v>
      </c>
      <c r="CN14">
        <f t="shared" si="39"/>
        <v>3.981476932788575E-3</v>
      </c>
      <c r="CO14">
        <f t="shared" si="40"/>
        <v>7.5407450603865811E-4</v>
      </c>
      <c r="CP14">
        <f t="shared" si="41"/>
        <v>3.2161547744597283E-3</v>
      </c>
      <c r="CQ14">
        <f t="shared" si="42"/>
        <v>6.2206955032209776E-5</v>
      </c>
      <c r="CR14">
        <f t="shared" si="43"/>
        <v>5.973810407759137E-4</v>
      </c>
      <c r="CS14">
        <f t="shared" si="44"/>
        <v>5.0612527464131941E-4</v>
      </c>
      <c r="CT14">
        <f t="shared" si="45"/>
        <v>2.8335396272166532E-4</v>
      </c>
    </row>
    <row r="15" spans="1:98" x14ac:dyDescent="0.25">
      <c r="A15" s="14"/>
      <c r="B15" s="11"/>
      <c r="C15" s="1" t="s">
        <v>12</v>
      </c>
      <c r="D15" s="1">
        <v>0</v>
      </c>
      <c r="E15" s="1">
        <v>28.951628240000002</v>
      </c>
      <c r="F15" s="1">
        <v>2.5615526800000001</v>
      </c>
      <c r="G15" s="1">
        <v>36.94845377</v>
      </c>
      <c r="H15" s="1">
        <v>7.1114076700000002</v>
      </c>
      <c r="I15" s="1">
        <v>5.8468717400000001</v>
      </c>
      <c r="J15" s="1">
        <v>9.15541056</v>
      </c>
      <c r="K15" s="1">
        <v>27.837037840000001</v>
      </c>
      <c r="L15" s="1">
        <v>25.487081150000002</v>
      </c>
      <c r="M15" s="1">
        <v>151.79560703999999</v>
      </c>
      <c r="N15" s="1">
        <v>1014.18925588</v>
      </c>
      <c r="O15" s="1">
        <v>396.05216658000001</v>
      </c>
      <c r="P15" s="1">
        <v>1305.9319508799999</v>
      </c>
      <c r="Q15" s="1">
        <v>64.416007329999999</v>
      </c>
      <c r="R15" s="1">
        <v>43.588895399999998</v>
      </c>
      <c r="S15" s="1">
        <v>328.31308725000002</v>
      </c>
      <c r="T15" s="1">
        <v>234.34917236000001</v>
      </c>
      <c r="U15" s="1">
        <v>34.919462660000001</v>
      </c>
      <c r="V15" s="1">
        <v>6.6121801400000004</v>
      </c>
      <c r="W15" s="1">
        <v>9.72457481</v>
      </c>
      <c r="X15" s="1">
        <v>75.849057970000004</v>
      </c>
      <c r="Y15" s="1">
        <v>10.595242389999999</v>
      </c>
      <c r="Z15" s="1">
        <v>8.2978202499999991</v>
      </c>
      <c r="AA15" s="1">
        <v>5.5051692399999999</v>
      </c>
      <c r="AB15" s="1">
        <v>288.76040221</v>
      </c>
      <c r="AC15" s="1">
        <v>260.17735885000002</v>
      </c>
      <c r="AD15" s="1">
        <v>24.603262869999998</v>
      </c>
      <c r="AE15" s="1">
        <v>9.9848292500000007</v>
      </c>
      <c r="AF15" s="1">
        <v>0.55013608999999997</v>
      </c>
      <c r="AG15" s="1">
        <v>0.45685647000000001</v>
      </c>
      <c r="AH15" s="1">
        <v>9.0249456299999995</v>
      </c>
      <c r="AI15" s="1">
        <v>27.564529719999999</v>
      </c>
      <c r="AJ15" s="1">
        <v>4.3086010200000002</v>
      </c>
      <c r="AK15" s="1">
        <v>154.41047773</v>
      </c>
      <c r="AL15" s="1">
        <v>0</v>
      </c>
      <c r="AM15" s="1">
        <v>34.433278899999998</v>
      </c>
      <c r="AN15" s="1">
        <v>4.8251154300000003</v>
      </c>
      <c r="AO15" s="1">
        <v>23.470094339999999</v>
      </c>
      <c r="AP15" s="1">
        <v>0.60564722999999998</v>
      </c>
      <c r="AQ15" s="1">
        <v>5.1536817700000004</v>
      </c>
      <c r="AR15" s="1">
        <v>8.2741470499999998</v>
      </c>
      <c r="AS15" s="1">
        <v>1.85003151</v>
      </c>
      <c r="AT15" s="4">
        <v>1544.7475667900001</v>
      </c>
      <c r="AU15" s="1">
        <v>34.142275660000003</v>
      </c>
      <c r="AV15" s="1">
        <v>2893.39868789</v>
      </c>
      <c r="AW15" s="1">
        <v>2.0660082000000002</v>
      </c>
      <c r="AX15" s="1">
        <v>1312.4428372499999</v>
      </c>
      <c r="AY15" s="4">
        <v>6809.6281042099999</v>
      </c>
      <c r="BB15" s="18"/>
      <c r="BC15">
        <f t="shared" si="1"/>
        <v>7585.8911777899993</v>
      </c>
      <c r="BD15" s="1" t="s">
        <v>12</v>
      </c>
      <c r="BE15">
        <f t="shared" si="4"/>
        <v>0</v>
      </c>
      <c r="BF15">
        <f t="shared" si="5"/>
        <v>3.8165098287680013E-3</v>
      </c>
      <c r="BG15">
        <f t="shared" si="6"/>
        <v>3.3767327001733475E-4</v>
      </c>
      <c r="BH15">
        <f t="shared" si="7"/>
        <v>4.8706807023778326E-3</v>
      </c>
      <c r="BI15">
        <f t="shared" si="8"/>
        <v>9.3745184360419069E-4</v>
      </c>
      <c r="BJ15">
        <f t="shared" si="9"/>
        <v>7.7075607901132216E-4</v>
      </c>
      <c r="BK15">
        <f t="shared" si="10"/>
        <v>1.2068998019382673E-3</v>
      </c>
      <c r="BL15">
        <f t="shared" si="11"/>
        <v>3.6695804339378587E-3</v>
      </c>
      <c r="BM15">
        <f t="shared" si="12"/>
        <v>3.3598005234534833E-3</v>
      </c>
      <c r="BN15">
        <f t="shared" si="13"/>
        <v>2.0010253704195988E-2</v>
      </c>
      <c r="BO15">
        <f t="shared" si="14"/>
        <v>0.13369414774223853</v>
      </c>
      <c r="BP15">
        <f t="shared" si="15"/>
        <v>5.2209049312434516E-2</v>
      </c>
      <c r="BQ15">
        <f t="shared" si="16"/>
        <v>0.17215273990530108</v>
      </c>
      <c r="BR15">
        <f t="shared" si="17"/>
        <v>8.491554363262873E-3</v>
      </c>
      <c r="BS15">
        <f t="shared" si="18"/>
        <v>5.7460480750923144E-3</v>
      </c>
      <c r="BT15">
        <f t="shared" si="19"/>
        <v>4.3279435409149594E-2</v>
      </c>
      <c r="BU15">
        <f t="shared" si="20"/>
        <v>3.0892767490012036E-2</v>
      </c>
      <c r="BV15">
        <f t="shared" si="21"/>
        <v>4.6032116519463574E-3</v>
      </c>
      <c r="BW15">
        <f t="shared" si="22"/>
        <v>8.7164183943992841E-4</v>
      </c>
      <c r="BX15">
        <f t="shared" si="23"/>
        <v>1.2819291210598494E-3</v>
      </c>
      <c r="BY15">
        <f t="shared" si="24"/>
        <v>9.9987010348989921E-3</v>
      </c>
      <c r="BZ15">
        <f t="shared" si="25"/>
        <v>1.3967037150520679E-3</v>
      </c>
      <c r="CA15">
        <f t="shared" si="26"/>
        <v>1.0938491016446938E-3</v>
      </c>
      <c r="CB15">
        <f t="shared" si="27"/>
        <v>7.257116021012871E-4</v>
      </c>
      <c r="CC15">
        <f t="shared" si="28"/>
        <v>3.8065455388476145E-2</v>
      </c>
      <c r="CD15">
        <f t="shared" si="29"/>
        <v>3.429753377055398E-2</v>
      </c>
      <c r="CE15">
        <f t="shared" si="30"/>
        <v>3.2432923559506791E-3</v>
      </c>
      <c r="CF15">
        <f t="shared" si="31"/>
        <v>1.3162368159503291E-3</v>
      </c>
      <c r="CG15">
        <f t="shared" si="32"/>
        <v>7.2520957275354868E-5</v>
      </c>
      <c r="CH15">
        <f t="shared" si="33"/>
        <v>6.0224495618601293E-5</v>
      </c>
      <c r="CI15">
        <f t="shared" si="34"/>
        <v>1.1897014363221119E-3</v>
      </c>
      <c r="CJ15">
        <f t="shared" si="35"/>
        <v>3.6336574140034507E-3</v>
      </c>
      <c r="CK15">
        <f t="shared" si="36"/>
        <v>5.6797559034523696E-4</v>
      </c>
      <c r="CL15">
        <f t="shared" si="37"/>
        <v>2.0354955549861244E-2</v>
      </c>
      <c r="CM15">
        <f t="shared" si="38"/>
        <v>0</v>
      </c>
      <c r="CN15">
        <f t="shared" si="39"/>
        <v>4.5391211253878625E-3</v>
      </c>
      <c r="CO15">
        <f t="shared" si="40"/>
        <v>6.3606441443913556E-4</v>
      </c>
      <c r="CP15">
        <f t="shared" si="41"/>
        <v>3.0939139238796137E-3</v>
      </c>
      <c r="CQ15">
        <f t="shared" si="42"/>
        <v>7.9838639364247178E-5</v>
      </c>
      <c r="CR15">
        <f t="shared" si="43"/>
        <v>6.7937723455471777E-4</v>
      </c>
      <c r="CS15">
        <f t="shared" si="44"/>
        <v>1.0907284135877244E-3</v>
      </c>
      <c r="CT15">
        <f t="shared" si="45"/>
        <v>2.4387793953814274E-4</v>
      </c>
    </row>
    <row r="16" spans="1:98" x14ac:dyDescent="0.25">
      <c r="A16" s="14"/>
      <c r="B16" s="11"/>
      <c r="C16" s="1" t="s">
        <v>13</v>
      </c>
      <c r="D16" s="1">
        <v>0</v>
      </c>
      <c r="E16" s="1">
        <v>30.333736219999999</v>
      </c>
      <c r="F16" s="1">
        <v>2.3950220999999998</v>
      </c>
      <c r="G16" s="1">
        <v>19.445006660000001</v>
      </c>
      <c r="H16" s="1">
        <v>9.5217111200000009</v>
      </c>
      <c r="I16" s="1">
        <v>5.2791318499999997</v>
      </c>
      <c r="J16" s="1">
        <v>6.1473383699999999</v>
      </c>
      <c r="K16" s="1">
        <v>20.840489959999999</v>
      </c>
      <c r="L16" s="1">
        <v>10.41352279</v>
      </c>
      <c r="M16" s="1">
        <v>174.86276315000001</v>
      </c>
      <c r="N16" s="1">
        <v>440.40320839999998</v>
      </c>
      <c r="O16" s="1">
        <v>218.57262405</v>
      </c>
      <c r="P16" s="1">
        <v>468.08619657999998</v>
      </c>
      <c r="Q16" s="1">
        <v>521.69702197000004</v>
      </c>
      <c r="R16" s="1">
        <v>75.474740400000002</v>
      </c>
      <c r="S16" s="1">
        <v>234.04989741</v>
      </c>
      <c r="T16" s="1">
        <v>312.66167888000001</v>
      </c>
      <c r="U16" s="1">
        <v>72.261478550000007</v>
      </c>
      <c r="V16" s="1">
        <v>6.2347914500000003</v>
      </c>
      <c r="W16" s="1">
        <v>5.1605899600000003</v>
      </c>
      <c r="X16" s="1">
        <v>30.45475094</v>
      </c>
      <c r="Y16" s="1">
        <v>6.36873617</v>
      </c>
      <c r="Z16" s="1">
        <v>5.5574154800000004</v>
      </c>
      <c r="AA16" s="1">
        <v>3.88841262</v>
      </c>
      <c r="AB16" s="1">
        <v>229.81327793</v>
      </c>
      <c r="AC16" s="1">
        <v>179.48315459</v>
      </c>
      <c r="AD16" s="1">
        <v>25.816603010000001</v>
      </c>
      <c r="AE16" s="1">
        <v>6.4431599799999999</v>
      </c>
      <c r="AF16" s="1">
        <v>1.0158092000000001</v>
      </c>
      <c r="AG16" s="1">
        <v>0.1293417</v>
      </c>
      <c r="AH16" s="1">
        <v>6.9659228999999998</v>
      </c>
      <c r="AI16" s="1">
        <v>34.238460179999997</v>
      </c>
      <c r="AJ16" s="1">
        <v>3.50204308</v>
      </c>
      <c r="AK16" s="1">
        <v>115.41582991999999</v>
      </c>
      <c r="AL16" s="1">
        <v>0</v>
      </c>
      <c r="AM16" s="1">
        <v>43.112594860000002</v>
      </c>
      <c r="AN16" s="1">
        <v>3.7312674499999998</v>
      </c>
      <c r="AO16" s="1">
        <v>15.61615988</v>
      </c>
      <c r="AP16" s="1">
        <v>1.2584822200000001</v>
      </c>
      <c r="AQ16" s="1">
        <v>3.6772728099999998</v>
      </c>
      <c r="AR16" s="1">
        <v>4.4138172999999998</v>
      </c>
      <c r="AS16" s="1">
        <v>1.3505888699999999</v>
      </c>
      <c r="AT16" s="4">
        <v>2026.43344075</v>
      </c>
      <c r="AU16" s="1">
        <v>32.203647529999998</v>
      </c>
      <c r="AV16" s="1">
        <v>2978.9144644399998</v>
      </c>
      <c r="AW16" s="1">
        <v>139.40967806</v>
      </c>
      <c r="AX16" s="1">
        <v>780.86769808999998</v>
      </c>
      <c r="AY16" s="4">
        <v>5064.4710677200001</v>
      </c>
      <c r="BB16" s="18"/>
      <c r="BC16">
        <f t="shared" si="1"/>
        <v>6335.0085154000008</v>
      </c>
      <c r="BD16" s="1" t="s">
        <v>13</v>
      </c>
      <c r="BE16">
        <f t="shared" si="4"/>
        <v>0</v>
      </c>
      <c r="BF16">
        <f t="shared" si="5"/>
        <v>4.7882707886280854E-3</v>
      </c>
      <c r="BG16">
        <f t="shared" si="6"/>
        <v>3.7806138605462871E-4</v>
      </c>
      <c r="BH16">
        <f t="shared" si="7"/>
        <v>3.0694523318682892E-3</v>
      </c>
      <c r="BI16">
        <f t="shared" si="8"/>
        <v>1.5030305163526347E-3</v>
      </c>
      <c r="BJ16">
        <f t="shared" si="9"/>
        <v>8.3332671726750918E-4</v>
      </c>
      <c r="BK16">
        <f t="shared" si="10"/>
        <v>9.7037570747635353E-4</v>
      </c>
      <c r="BL16">
        <f t="shared" si="11"/>
        <v>3.2897335353753829E-3</v>
      </c>
      <c r="BM16">
        <f t="shared" si="12"/>
        <v>1.6438056499348645E-3</v>
      </c>
      <c r="BN16">
        <f t="shared" si="13"/>
        <v>2.7602609013850542E-2</v>
      </c>
      <c r="BO16">
        <f t="shared" si="14"/>
        <v>6.9518960760574816E-2</v>
      </c>
      <c r="BP16">
        <f t="shared" si="15"/>
        <v>3.4502341002172913E-2</v>
      </c>
      <c r="BQ16">
        <f t="shared" si="16"/>
        <v>7.3888803060345121E-2</v>
      </c>
      <c r="BR16">
        <f t="shared" si="17"/>
        <v>8.2351431841297118E-2</v>
      </c>
      <c r="BS16">
        <f t="shared" si="18"/>
        <v>1.1913913014722196E-2</v>
      </c>
      <c r="BT16">
        <f t="shared" si="19"/>
        <v>3.6945474791555473E-2</v>
      </c>
      <c r="BU16">
        <f t="shared" si="20"/>
        <v>4.9354579101186596E-2</v>
      </c>
      <c r="BV16">
        <f t="shared" si="21"/>
        <v>1.140669004222125E-2</v>
      </c>
      <c r="BW16">
        <f t="shared" si="22"/>
        <v>9.8418043714442079E-4</v>
      </c>
      <c r="BX16">
        <f t="shared" si="23"/>
        <v>8.1461452616124128E-4</v>
      </c>
      <c r="BY16">
        <f t="shared" si="24"/>
        <v>4.8073733233296289E-3</v>
      </c>
      <c r="BZ16">
        <f t="shared" si="25"/>
        <v>1.0053240109335307E-3</v>
      </c>
      <c r="CA16">
        <f t="shared" si="26"/>
        <v>8.7725461875706691E-4</v>
      </c>
      <c r="CB16">
        <f t="shared" si="27"/>
        <v>6.1379753642753869E-4</v>
      </c>
      <c r="CC16">
        <f t="shared" si="28"/>
        <v>3.6276711763107913E-2</v>
      </c>
      <c r="CD16">
        <f t="shared" si="29"/>
        <v>2.8331951591491617E-2</v>
      </c>
      <c r="CE16">
        <f t="shared" si="30"/>
        <v>4.075227830750581E-3</v>
      </c>
      <c r="CF16">
        <f t="shared" si="31"/>
        <v>1.0170720314482751E-3</v>
      </c>
      <c r="CG16">
        <f t="shared" si="32"/>
        <v>1.6034851374400412E-4</v>
      </c>
      <c r="CH16">
        <f t="shared" si="33"/>
        <v>2.0416973345115261E-5</v>
      </c>
      <c r="CI16">
        <f t="shared" si="34"/>
        <v>1.099591718474614E-3</v>
      </c>
      <c r="CJ16">
        <f t="shared" si="35"/>
        <v>5.4046431187532726E-3</v>
      </c>
      <c r="CK16">
        <f t="shared" si="36"/>
        <v>5.5280795147895335E-4</v>
      </c>
      <c r="CL16">
        <f t="shared" si="37"/>
        <v>1.8218733193401632E-2</v>
      </c>
      <c r="CM16">
        <f t="shared" si="38"/>
        <v>0</v>
      </c>
      <c r="CN16">
        <f t="shared" si="39"/>
        <v>6.8054517614610996E-3</v>
      </c>
      <c r="CO16">
        <f t="shared" si="40"/>
        <v>5.889917023678069E-4</v>
      </c>
      <c r="CP16">
        <f t="shared" si="41"/>
        <v>2.4650574410497025E-3</v>
      </c>
      <c r="CQ16">
        <f t="shared" si="42"/>
        <v>1.9865517417075451E-4</v>
      </c>
      <c r="CR16">
        <f t="shared" si="43"/>
        <v>5.8046848730523165E-4</v>
      </c>
      <c r="CS16">
        <f t="shared" si="44"/>
        <v>6.9673423315379799E-4</v>
      </c>
      <c r="CT16">
        <f t="shared" si="45"/>
        <v>2.1319448375117488E-4</v>
      </c>
    </row>
    <row r="17" spans="1:98" x14ac:dyDescent="0.25">
      <c r="A17" s="14"/>
      <c r="B17" s="11"/>
      <c r="C17" s="1" t="s">
        <v>14</v>
      </c>
      <c r="D17" s="1">
        <v>0</v>
      </c>
      <c r="E17" s="1">
        <v>92.228228880000003</v>
      </c>
      <c r="F17" s="1">
        <v>3.3350719999999998</v>
      </c>
      <c r="G17" s="1">
        <v>42.388914739999997</v>
      </c>
      <c r="H17" s="1">
        <v>8.62334903</v>
      </c>
      <c r="I17" s="1">
        <v>33.064337799999997</v>
      </c>
      <c r="J17" s="1">
        <v>66.000650980000003</v>
      </c>
      <c r="K17" s="1">
        <v>20.77767205</v>
      </c>
      <c r="L17" s="1">
        <v>19.03304198</v>
      </c>
      <c r="M17" s="1">
        <v>395.88022914999999</v>
      </c>
      <c r="N17" s="1">
        <v>859.95182247000002</v>
      </c>
      <c r="O17" s="1">
        <v>238.32621653999999</v>
      </c>
      <c r="P17" s="1">
        <v>479.90259928</v>
      </c>
      <c r="Q17" s="1">
        <v>67.151761769999993</v>
      </c>
      <c r="R17" s="1">
        <v>3715.3782584099999</v>
      </c>
      <c r="S17" s="1">
        <v>581.90334441000005</v>
      </c>
      <c r="T17" s="1">
        <v>420.84182589</v>
      </c>
      <c r="U17" s="1">
        <v>57.265231659999998</v>
      </c>
      <c r="V17" s="1">
        <v>6.8141958899999997</v>
      </c>
      <c r="W17" s="1">
        <v>10.03169203</v>
      </c>
      <c r="X17" s="1">
        <v>78.764825999999999</v>
      </c>
      <c r="Y17" s="1">
        <v>14.40949022</v>
      </c>
      <c r="Z17" s="1">
        <v>12.138168159999999</v>
      </c>
      <c r="AA17" s="1">
        <v>8.6450949399999999</v>
      </c>
      <c r="AB17" s="1">
        <v>715.11043479</v>
      </c>
      <c r="AC17" s="1">
        <v>359.36042388999999</v>
      </c>
      <c r="AD17" s="1">
        <v>15.769038419999999</v>
      </c>
      <c r="AE17" s="1">
        <v>13.84311699</v>
      </c>
      <c r="AF17" s="1">
        <v>2.7585301800000002</v>
      </c>
      <c r="AG17" s="1">
        <v>0.71222973999999994</v>
      </c>
      <c r="AH17" s="1">
        <v>6.1826380700000003</v>
      </c>
      <c r="AI17" s="1">
        <v>41.486601919999998</v>
      </c>
      <c r="AJ17" s="1">
        <v>3.4343309500000001</v>
      </c>
      <c r="AK17" s="1">
        <v>445.79376836</v>
      </c>
      <c r="AL17" s="1">
        <v>0</v>
      </c>
      <c r="AM17" s="1">
        <v>107.78301845999999</v>
      </c>
      <c r="AN17" s="1">
        <v>7.9120699800000001</v>
      </c>
      <c r="AO17" s="1">
        <v>46.251938869999996</v>
      </c>
      <c r="AP17" s="1">
        <v>2.0827899699999999</v>
      </c>
      <c r="AQ17" s="1">
        <v>4.3813437000000004</v>
      </c>
      <c r="AR17" s="1">
        <v>4.0108954399999996</v>
      </c>
      <c r="AS17" s="1">
        <v>1.7935578700000001</v>
      </c>
      <c r="AT17" s="4">
        <v>2726.8177629800002</v>
      </c>
      <c r="AU17" s="1">
        <v>15.48232221</v>
      </c>
      <c r="AV17" s="1">
        <v>6368.9015367299999</v>
      </c>
      <c r="AW17" s="1">
        <v>2193.9167738800002</v>
      </c>
      <c r="AX17" s="1">
        <v>1432.68467766</v>
      </c>
      <c r="AY17" s="4">
        <v>12317.67993418</v>
      </c>
      <c r="BB17" s="18"/>
      <c r="BC17">
        <f t="shared" si="1"/>
        <v>15380.424288610002</v>
      </c>
      <c r="BD17" s="1" t="s">
        <v>14</v>
      </c>
      <c r="BE17">
        <f t="shared" si="4"/>
        <v>0</v>
      </c>
      <c r="BF17">
        <f t="shared" si="5"/>
        <v>5.9964684425708441E-3</v>
      </c>
      <c r="BG17">
        <f t="shared" si="6"/>
        <v>2.1683875148163453E-4</v>
      </c>
      <c r="BH17">
        <f t="shared" si="7"/>
        <v>2.7560302592816751E-3</v>
      </c>
      <c r="BI17">
        <f t="shared" si="8"/>
        <v>5.6067042548273746E-4</v>
      </c>
      <c r="BJ17">
        <f t="shared" si="9"/>
        <v>2.1497675993558804E-3</v>
      </c>
      <c r="BK17">
        <f t="shared" si="10"/>
        <v>4.2912113308133442E-3</v>
      </c>
      <c r="BL17">
        <f t="shared" si="11"/>
        <v>1.3509167016534738E-3</v>
      </c>
      <c r="BM17">
        <f t="shared" si="12"/>
        <v>1.2374848458566224E-3</v>
      </c>
      <c r="BN17">
        <f t="shared" si="13"/>
        <v>2.5739226806842368E-2</v>
      </c>
      <c r="BO17">
        <f t="shared" si="14"/>
        <v>5.5912100104210959E-2</v>
      </c>
      <c r="BP17">
        <f t="shared" si="15"/>
        <v>1.5495425358095801E-2</v>
      </c>
      <c r="BQ17">
        <f t="shared" si="16"/>
        <v>3.1202169086804236E-2</v>
      </c>
      <c r="BR17">
        <f t="shared" si="17"/>
        <v>4.3660539208745588E-3</v>
      </c>
      <c r="BS17">
        <f t="shared" si="18"/>
        <v>0.24156539434100197</v>
      </c>
      <c r="BT17">
        <f t="shared" si="19"/>
        <v>3.7834024178444121E-2</v>
      </c>
      <c r="BU17">
        <f t="shared" si="20"/>
        <v>2.7362172719881016E-2</v>
      </c>
      <c r="BV17">
        <f t="shared" si="21"/>
        <v>3.7232543514685648E-3</v>
      </c>
      <c r="BW17">
        <f t="shared" si="22"/>
        <v>4.4304342728999116E-4</v>
      </c>
      <c r="BX17">
        <f t="shared" si="23"/>
        <v>6.5223766534379586E-4</v>
      </c>
      <c r="BY17">
        <f t="shared" si="24"/>
        <v>5.1211087888082141E-3</v>
      </c>
      <c r="BZ17">
        <f t="shared" si="25"/>
        <v>9.3687208815630479E-4</v>
      </c>
      <c r="CA17">
        <f t="shared" si="26"/>
        <v>7.8919592413253116E-4</v>
      </c>
      <c r="CB17">
        <f t="shared" si="27"/>
        <v>5.6208429480077084E-4</v>
      </c>
      <c r="CC17">
        <f t="shared" si="28"/>
        <v>4.6494844444543458E-2</v>
      </c>
      <c r="CD17">
        <f t="shared" si="29"/>
        <v>2.3364792618635687E-2</v>
      </c>
      <c r="CE17">
        <f t="shared" si="30"/>
        <v>1.0252668017538232E-3</v>
      </c>
      <c r="CF17">
        <f t="shared" si="31"/>
        <v>9.0004779648709325E-4</v>
      </c>
      <c r="CG17">
        <f t="shared" si="32"/>
        <v>1.7935332135426421E-4</v>
      </c>
      <c r="CH17">
        <f t="shared" si="33"/>
        <v>4.6307548259734476E-5</v>
      </c>
      <c r="CI17">
        <f t="shared" si="34"/>
        <v>4.0198098270790639E-4</v>
      </c>
      <c r="CJ17">
        <f t="shared" si="35"/>
        <v>2.6973639440313079E-3</v>
      </c>
      <c r="CK17">
        <f t="shared" si="36"/>
        <v>2.2329234132658482E-4</v>
      </c>
      <c r="CL17">
        <f t="shared" si="37"/>
        <v>2.8984490934371252E-2</v>
      </c>
      <c r="CM17">
        <f t="shared" si="38"/>
        <v>0</v>
      </c>
      <c r="CN17">
        <f t="shared" si="39"/>
        <v>7.0078052749051193E-3</v>
      </c>
      <c r="CO17">
        <f t="shared" si="40"/>
        <v>5.1442468891181993E-4</v>
      </c>
      <c r="CP17">
        <f t="shared" si="41"/>
        <v>3.0071952504100909E-3</v>
      </c>
      <c r="CQ17">
        <f t="shared" si="42"/>
        <v>1.3541823885459476E-4</v>
      </c>
      <c r="CR17">
        <f t="shared" si="43"/>
        <v>2.8486494376131168E-4</v>
      </c>
      <c r="CS17">
        <f t="shared" si="44"/>
        <v>2.6077924540549084E-4</v>
      </c>
      <c r="CT17">
        <f t="shared" si="45"/>
        <v>1.166130294161145E-4</v>
      </c>
    </row>
    <row r="18" spans="1:98" x14ac:dyDescent="0.25">
      <c r="A18" s="14"/>
      <c r="B18" s="11"/>
      <c r="C18" s="1" t="s">
        <v>15</v>
      </c>
      <c r="D18" s="1">
        <v>0</v>
      </c>
      <c r="E18" s="1">
        <v>312.76989165999998</v>
      </c>
      <c r="F18" s="1">
        <v>10.775654380000001</v>
      </c>
      <c r="G18" s="1">
        <v>46.758719980000002</v>
      </c>
      <c r="H18" s="1">
        <v>9.9010317800000003</v>
      </c>
      <c r="I18" s="1">
        <v>7.02451895</v>
      </c>
      <c r="J18" s="1">
        <v>10.679387330000001</v>
      </c>
      <c r="K18" s="1">
        <v>44.90553723</v>
      </c>
      <c r="L18" s="1">
        <v>22.92778384</v>
      </c>
      <c r="M18" s="1">
        <v>941.23776477000001</v>
      </c>
      <c r="N18" s="1">
        <v>2001.6448516999999</v>
      </c>
      <c r="O18" s="1">
        <v>483.43876332000002</v>
      </c>
      <c r="P18" s="1">
        <v>355.31683844000003</v>
      </c>
      <c r="Q18" s="1">
        <v>104.96501628</v>
      </c>
      <c r="R18" s="1">
        <v>10.93945686</v>
      </c>
      <c r="S18" s="1">
        <v>1774.3748043400001</v>
      </c>
      <c r="T18" s="1">
        <v>744.78819212999997</v>
      </c>
      <c r="U18" s="1">
        <v>78.329253140000006</v>
      </c>
      <c r="V18" s="1">
        <v>17.140178599999999</v>
      </c>
      <c r="W18" s="1">
        <v>6.1867985499999998</v>
      </c>
      <c r="X18" s="1">
        <v>110.55916594</v>
      </c>
      <c r="Y18" s="1">
        <v>1.5811214200000001</v>
      </c>
      <c r="Z18" s="1">
        <v>12.03312247</v>
      </c>
      <c r="AA18" s="1">
        <v>6.4005976200000001</v>
      </c>
      <c r="AB18" s="1">
        <v>620.72753703000001</v>
      </c>
      <c r="AC18" s="1">
        <v>436.76960880000001</v>
      </c>
      <c r="AD18" s="1">
        <v>31.16737719</v>
      </c>
      <c r="AE18" s="1">
        <v>11.183728840000001</v>
      </c>
      <c r="AF18" s="1">
        <v>0.54172189000000004</v>
      </c>
      <c r="AG18" s="1">
        <v>1.7253560000000001E-2</v>
      </c>
      <c r="AH18" s="1">
        <v>14.968610480000001</v>
      </c>
      <c r="AI18" s="1">
        <v>58.757404399999999</v>
      </c>
      <c r="AJ18" s="1">
        <v>4.3409121900000001</v>
      </c>
      <c r="AK18" s="1">
        <v>308.85848282000001</v>
      </c>
      <c r="AL18" s="1">
        <v>0</v>
      </c>
      <c r="AM18" s="1">
        <v>58.177975529999998</v>
      </c>
      <c r="AN18" s="1">
        <v>7.5987663400000001</v>
      </c>
      <c r="AO18" s="1">
        <v>27.808572049999999</v>
      </c>
      <c r="AP18" s="1">
        <v>2.5528870299999999</v>
      </c>
      <c r="AQ18" s="1">
        <v>5.0675530699999998</v>
      </c>
      <c r="AR18" s="1">
        <v>6.6903416800000004</v>
      </c>
      <c r="AS18" s="1">
        <v>1.5785785299999999</v>
      </c>
      <c r="AT18" s="4">
        <v>1384.1325615400001</v>
      </c>
      <c r="AU18" s="1">
        <v>133.77915174</v>
      </c>
      <c r="AV18" s="1">
        <v>4621.3000179199998</v>
      </c>
      <c r="AW18" s="1">
        <v>609.74801729000001</v>
      </c>
      <c r="AX18" s="1">
        <v>2493.6402873500001</v>
      </c>
      <c r="AY18" s="4">
        <v>11376.395626740001</v>
      </c>
      <c r="BB18" s="18"/>
      <c r="BC18">
        <f t="shared" si="1"/>
        <v>13332.785780079997</v>
      </c>
      <c r="BD18" s="1" t="s">
        <v>15</v>
      </c>
      <c r="BE18">
        <f t="shared" si="4"/>
        <v>0</v>
      </c>
      <c r="BF18">
        <f t="shared" si="5"/>
        <v>2.3458705241278043E-2</v>
      </c>
      <c r="BG18">
        <f t="shared" si="6"/>
        <v>8.0820726873895266E-4</v>
      </c>
      <c r="BH18">
        <f t="shared" si="7"/>
        <v>3.5070480206664994E-3</v>
      </c>
      <c r="BI18">
        <f t="shared" si="8"/>
        <v>7.4260787980204041E-4</v>
      </c>
      <c r="BJ18">
        <f t="shared" si="9"/>
        <v>5.2686055756592624E-4</v>
      </c>
      <c r="BK18">
        <f t="shared" si="10"/>
        <v>8.009869434755085E-4</v>
      </c>
      <c r="BL18">
        <f t="shared" si="11"/>
        <v>3.3680536064032195E-3</v>
      </c>
      <c r="BM18">
        <f t="shared" si="12"/>
        <v>1.7196544081774358E-3</v>
      </c>
      <c r="BN18">
        <f t="shared" si="13"/>
        <v>7.0595731476933141E-2</v>
      </c>
      <c r="BO18">
        <f t="shared" si="14"/>
        <v>0.15012952917090894</v>
      </c>
      <c r="BP18">
        <f t="shared" si="15"/>
        <v>3.6259396295280411E-2</v>
      </c>
      <c r="BQ18">
        <f t="shared" si="16"/>
        <v>2.6649857299204886E-2</v>
      </c>
      <c r="BR18">
        <f t="shared" si="17"/>
        <v>7.8726995251678158E-3</v>
      </c>
      <c r="BS18">
        <f t="shared" si="18"/>
        <v>8.2049295926918907E-4</v>
      </c>
      <c r="BT18">
        <f t="shared" si="19"/>
        <v>0.13308357560135897</v>
      </c>
      <c r="BU18">
        <f t="shared" si="20"/>
        <v>5.5861408441944621E-2</v>
      </c>
      <c r="BV18">
        <f t="shared" si="21"/>
        <v>5.8749352484931345E-3</v>
      </c>
      <c r="BW18">
        <f t="shared" si="22"/>
        <v>1.2855661886961749E-3</v>
      </c>
      <c r="BX18">
        <f t="shared" si="23"/>
        <v>4.6402894729197984E-4</v>
      </c>
      <c r="BY18">
        <f t="shared" si="24"/>
        <v>8.2922779802839259E-3</v>
      </c>
      <c r="BZ18">
        <f t="shared" si="25"/>
        <v>1.1858897653349331E-4</v>
      </c>
      <c r="CA18">
        <f t="shared" si="26"/>
        <v>9.0252124863344206E-4</v>
      </c>
      <c r="CB18">
        <f t="shared" si="27"/>
        <v>4.8006453606739012E-4</v>
      </c>
      <c r="CC18">
        <f t="shared" si="28"/>
        <v>4.6556477188541133E-2</v>
      </c>
      <c r="CD18">
        <f t="shared" si="29"/>
        <v>3.2759065959985699E-2</v>
      </c>
      <c r="CE18">
        <f t="shared" si="30"/>
        <v>2.337649288310473E-3</v>
      </c>
      <c r="CF18">
        <f t="shared" si="31"/>
        <v>8.3881411015462198E-4</v>
      </c>
      <c r="CG18">
        <f t="shared" si="32"/>
        <v>4.0630810314928027E-5</v>
      </c>
      <c r="CH18">
        <f t="shared" si="33"/>
        <v>1.2940701429237603E-6</v>
      </c>
      <c r="CI18">
        <f t="shared" si="34"/>
        <v>1.1226918910198066E-3</v>
      </c>
      <c r="CJ18">
        <f t="shared" si="35"/>
        <v>4.4069863094768373E-3</v>
      </c>
      <c r="CK18">
        <f t="shared" si="36"/>
        <v>3.2558178475241011E-4</v>
      </c>
      <c r="CL18">
        <f t="shared" si="37"/>
        <v>2.3165337530694718E-2</v>
      </c>
      <c r="CM18">
        <f t="shared" si="38"/>
        <v>0</v>
      </c>
      <c r="CN18">
        <f t="shared" si="39"/>
        <v>4.3635273595201288E-3</v>
      </c>
      <c r="CO18">
        <f t="shared" si="40"/>
        <v>5.6993088056308714E-4</v>
      </c>
      <c r="CP18">
        <f t="shared" si="41"/>
        <v>2.0857285573092845E-3</v>
      </c>
      <c r="CQ18">
        <f t="shared" si="42"/>
        <v>1.9147439043190584E-4</v>
      </c>
      <c r="CR18">
        <f t="shared" si="43"/>
        <v>3.8008208888882291E-4</v>
      </c>
      <c r="CS18">
        <f t="shared" si="44"/>
        <v>5.0179623301199229E-4</v>
      </c>
      <c r="CT18">
        <f t="shared" si="45"/>
        <v>1.1839825195110337E-4</v>
      </c>
    </row>
    <row r="19" spans="1:98" x14ac:dyDescent="0.25">
      <c r="A19" s="14"/>
      <c r="B19" s="11"/>
      <c r="C19" s="1" t="s">
        <v>16</v>
      </c>
      <c r="D19" s="1">
        <v>0.21472711</v>
      </c>
      <c r="E19" s="1">
        <v>342.69037104</v>
      </c>
      <c r="F19" s="1">
        <v>0.57544401999999995</v>
      </c>
      <c r="G19" s="1">
        <v>85.712162599999999</v>
      </c>
      <c r="H19" s="1">
        <v>10.60973751</v>
      </c>
      <c r="I19" s="1">
        <v>5.1816388699999996</v>
      </c>
      <c r="J19" s="1">
        <v>6.4826068000000001</v>
      </c>
      <c r="K19" s="1">
        <v>48.7613257</v>
      </c>
      <c r="L19" s="1">
        <v>7.0680424200000003</v>
      </c>
      <c r="M19" s="1">
        <v>480.09487295000002</v>
      </c>
      <c r="N19" s="1">
        <v>367.88910912</v>
      </c>
      <c r="O19" s="1">
        <v>87.787898279999993</v>
      </c>
      <c r="P19" s="1">
        <v>107.09277521</v>
      </c>
      <c r="Q19" s="1">
        <v>279.83120658000001</v>
      </c>
      <c r="R19" s="1">
        <v>11.95951745</v>
      </c>
      <c r="S19" s="1">
        <v>520.36116050999999</v>
      </c>
      <c r="T19" s="1">
        <v>4624.0644733899999</v>
      </c>
      <c r="U19" s="1">
        <v>103.74200429</v>
      </c>
      <c r="V19" s="1">
        <v>12.223035360000001</v>
      </c>
      <c r="W19" s="1">
        <v>13.32777802</v>
      </c>
      <c r="X19" s="1">
        <v>160.03943713999999</v>
      </c>
      <c r="Y19" s="1">
        <v>0.82830497999999997</v>
      </c>
      <c r="Z19" s="1">
        <v>17.184406119999998</v>
      </c>
      <c r="AA19" s="1">
        <v>21.080783950000001</v>
      </c>
      <c r="AB19" s="1">
        <v>977.29609621999998</v>
      </c>
      <c r="AC19" s="1">
        <v>310.02195518000002</v>
      </c>
      <c r="AD19" s="1">
        <v>16.128521880000001</v>
      </c>
      <c r="AE19" s="1">
        <v>14.750130220000001</v>
      </c>
      <c r="AF19" s="1">
        <v>1.014809E-2</v>
      </c>
      <c r="AG19" s="1">
        <v>0</v>
      </c>
      <c r="AH19" s="1">
        <v>254.06207903000001</v>
      </c>
      <c r="AI19" s="1">
        <v>53.665653239999997</v>
      </c>
      <c r="AJ19" s="1">
        <v>7.1207936600000004</v>
      </c>
      <c r="AK19" s="1">
        <v>233.74438327999999</v>
      </c>
      <c r="AL19" s="1">
        <v>0</v>
      </c>
      <c r="AM19" s="1">
        <v>91.355951169999997</v>
      </c>
      <c r="AN19" s="1">
        <v>9.8561585199999993</v>
      </c>
      <c r="AO19" s="1">
        <v>46.975074659999997</v>
      </c>
      <c r="AP19" s="1">
        <v>3.3539016099999999</v>
      </c>
      <c r="AQ19" s="1">
        <v>2.01291989</v>
      </c>
      <c r="AR19" s="1">
        <v>8.0333976699999994</v>
      </c>
      <c r="AS19" s="1">
        <v>2.58190681</v>
      </c>
      <c r="AT19" s="4">
        <v>1066.2910629</v>
      </c>
      <c r="AU19" s="1">
        <v>-83.110196220000006</v>
      </c>
      <c r="AV19" s="1">
        <v>5276.3954726600005</v>
      </c>
      <c r="AW19" s="1">
        <v>779.37934202999998</v>
      </c>
      <c r="AX19" s="1">
        <v>3513.8352639499999</v>
      </c>
      <c r="AY19" s="4">
        <v>15290.481964250001</v>
      </c>
      <c r="BB19" s="18"/>
      <c r="BC19">
        <f t="shared" si="1"/>
        <v>14622.167363210001</v>
      </c>
      <c r="BD19" s="1" t="s">
        <v>16</v>
      </c>
      <c r="BE19">
        <f t="shared" si="4"/>
        <v>1.4685039821132304E-5</v>
      </c>
      <c r="BF19">
        <f t="shared" si="5"/>
        <v>2.3436359503189907E-2</v>
      </c>
      <c r="BG19">
        <f t="shared" si="6"/>
        <v>3.935422196355389E-5</v>
      </c>
      <c r="BH19">
        <f t="shared" si="7"/>
        <v>5.8617960300232554E-3</v>
      </c>
      <c r="BI19">
        <f t="shared" si="8"/>
        <v>7.255926735385723E-4</v>
      </c>
      <c r="BJ19">
        <f t="shared" si="9"/>
        <v>3.5436872942907387E-4</v>
      </c>
      <c r="BK19">
        <f t="shared" si="10"/>
        <v>4.4334103412812224E-4</v>
      </c>
      <c r="BL19">
        <f t="shared" si="11"/>
        <v>3.3347536304833701E-3</v>
      </c>
      <c r="BM19">
        <f t="shared" si="12"/>
        <v>4.8337857476474369E-4</v>
      </c>
      <c r="BN19">
        <f t="shared" si="13"/>
        <v>3.2833359174778649E-2</v>
      </c>
      <c r="BO19">
        <f t="shared" si="14"/>
        <v>2.5159683922482294E-2</v>
      </c>
      <c r="BP19">
        <f t="shared" si="15"/>
        <v>6.003754169910413E-3</v>
      </c>
      <c r="BQ19">
        <f t="shared" si="16"/>
        <v>7.3240014663934162E-3</v>
      </c>
      <c r="BR19">
        <f t="shared" si="17"/>
        <v>1.913746434636409E-2</v>
      </c>
      <c r="BS19">
        <f t="shared" si="18"/>
        <v>8.1790319813262828E-4</v>
      </c>
      <c r="BT19">
        <f t="shared" si="19"/>
        <v>3.5587142971653503E-2</v>
      </c>
      <c r="BU19">
        <f t="shared" si="20"/>
        <v>0.31623659875651156</v>
      </c>
      <c r="BV19">
        <f t="shared" si="21"/>
        <v>7.0948445406950628E-3</v>
      </c>
      <c r="BW19">
        <f t="shared" si="22"/>
        <v>8.3592500731141141E-4</v>
      </c>
      <c r="BX19">
        <f t="shared" si="23"/>
        <v>9.1147760034078539E-4</v>
      </c>
      <c r="BY19">
        <f t="shared" si="24"/>
        <v>1.0944987371890303E-2</v>
      </c>
      <c r="BZ19">
        <f t="shared" si="25"/>
        <v>5.6647209638979429E-5</v>
      </c>
      <c r="CA19">
        <f t="shared" si="26"/>
        <v>1.175229751728646E-3</v>
      </c>
      <c r="CB19">
        <f t="shared" si="27"/>
        <v>1.4417003598960409E-3</v>
      </c>
      <c r="CC19">
        <f t="shared" si="28"/>
        <v>6.6836609918644402E-2</v>
      </c>
      <c r="CD19">
        <f t="shared" si="29"/>
        <v>2.1202188942251374E-2</v>
      </c>
      <c r="CE19">
        <f t="shared" si="30"/>
        <v>1.1030185525423579E-3</v>
      </c>
      <c r="CF19">
        <f t="shared" si="31"/>
        <v>1.0087512920356773E-3</v>
      </c>
      <c r="CG19">
        <f t="shared" si="32"/>
        <v>6.9402091686715538E-7</v>
      </c>
      <c r="CH19">
        <f t="shared" si="33"/>
        <v>0</v>
      </c>
      <c r="CI19">
        <f t="shared" si="34"/>
        <v>1.7375131382316899E-2</v>
      </c>
      <c r="CJ19">
        <f t="shared" si="35"/>
        <v>3.6701572281975844E-3</v>
      </c>
      <c r="CK19">
        <f t="shared" si="36"/>
        <v>4.8698619589844267E-4</v>
      </c>
      <c r="CL19">
        <f t="shared" si="37"/>
        <v>1.5985618101192773E-2</v>
      </c>
      <c r="CM19">
        <f t="shared" si="38"/>
        <v>0</v>
      </c>
      <c r="CN19">
        <f t="shared" si="39"/>
        <v>6.2477708605535101E-3</v>
      </c>
      <c r="CO19">
        <f t="shared" si="40"/>
        <v>6.7405592311838231E-4</v>
      </c>
      <c r="CP19">
        <f t="shared" si="41"/>
        <v>3.2125931466351078E-3</v>
      </c>
      <c r="CQ19">
        <f t="shared" si="42"/>
        <v>2.293710314408355E-4</v>
      </c>
      <c r="CR19">
        <f t="shared" si="43"/>
        <v>1.3766221107991094E-4</v>
      </c>
      <c r="CS19">
        <f t="shared" si="44"/>
        <v>5.4939855839787274E-4</v>
      </c>
      <c r="CT19">
        <f t="shared" si="45"/>
        <v>1.7657483640189949E-4</v>
      </c>
    </row>
    <row r="20" spans="1:98" x14ac:dyDescent="0.25">
      <c r="A20" s="14"/>
      <c r="B20" s="11"/>
      <c r="C20" s="1" t="s">
        <v>17</v>
      </c>
      <c r="D20" s="1">
        <v>0</v>
      </c>
      <c r="E20" s="1">
        <v>45.26208269</v>
      </c>
      <c r="F20" s="1">
        <v>0.15985160000000001</v>
      </c>
      <c r="G20" s="1">
        <v>3.5102043300000001</v>
      </c>
      <c r="H20" s="1">
        <v>0.86138784999999995</v>
      </c>
      <c r="I20" s="1">
        <v>0.48481960000000002</v>
      </c>
      <c r="J20" s="1">
        <v>4.5703391099999999</v>
      </c>
      <c r="K20" s="1">
        <v>4.3335650599999997</v>
      </c>
      <c r="L20" s="1">
        <v>1.71725087</v>
      </c>
      <c r="M20" s="1">
        <v>54.771693800000001</v>
      </c>
      <c r="N20" s="1">
        <v>52.418220519999998</v>
      </c>
      <c r="O20" s="1">
        <v>27.138969400000001</v>
      </c>
      <c r="P20" s="1">
        <v>31.233105909999999</v>
      </c>
      <c r="Q20" s="1">
        <v>19.761687160000001</v>
      </c>
      <c r="R20" s="1">
        <v>1.01664664</v>
      </c>
      <c r="S20" s="1">
        <v>42.288806409999999</v>
      </c>
      <c r="T20" s="1">
        <v>145.79263567000001</v>
      </c>
      <c r="U20" s="1">
        <v>159.13024938999999</v>
      </c>
      <c r="V20" s="1">
        <v>5.4504709999999998E-2</v>
      </c>
      <c r="W20" s="1">
        <v>0.78151495000000004</v>
      </c>
      <c r="X20" s="1">
        <v>6.1922783800000003</v>
      </c>
      <c r="Y20" s="1">
        <v>7.1266579999999996E-2</v>
      </c>
      <c r="Z20" s="1">
        <v>1.364619</v>
      </c>
      <c r="AA20" s="1">
        <v>1.12848759</v>
      </c>
      <c r="AB20" s="1">
        <v>72.596425510000003</v>
      </c>
      <c r="AC20" s="1">
        <v>35.000078270000003</v>
      </c>
      <c r="AD20" s="1">
        <v>8.7160170899999994</v>
      </c>
      <c r="AE20" s="1">
        <v>1.1647353199999999</v>
      </c>
      <c r="AF20" s="1">
        <v>4.9203539999999997E-2</v>
      </c>
      <c r="AG20" s="1">
        <v>0</v>
      </c>
      <c r="AH20" s="1">
        <v>1.57600396</v>
      </c>
      <c r="AI20" s="1">
        <v>4.7647604899999996</v>
      </c>
      <c r="AJ20" s="1">
        <v>1.11119309</v>
      </c>
      <c r="AK20" s="1">
        <v>25.22753544</v>
      </c>
      <c r="AL20" s="1">
        <v>0</v>
      </c>
      <c r="AM20" s="1">
        <v>8.8528092600000008</v>
      </c>
      <c r="AN20" s="1">
        <v>0.96536986000000002</v>
      </c>
      <c r="AO20" s="1">
        <v>4.4296010099999998</v>
      </c>
      <c r="AP20" s="1">
        <v>0.79859992000000002</v>
      </c>
      <c r="AQ20" s="1">
        <v>0.55023149999999998</v>
      </c>
      <c r="AR20" s="1">
        <v>0.97036458000000003</v>
      </c>
      <c r="AS20" s="1">
        <v>0.21945405000000001</v>
      </c>
      <c r="AT20" s="4">
        <v>9.8998682000000002</v>
      </c>
      <c r="AU20" s="1">
        <v>40.688463220000003</v>
      </c>
      <c r="AV20" s="1">
        <v>327.70294267000003</v>
      </c>
      <c r="AW20" s="1">
        <v>12.357247279999999</v>
      </c>
      <c r="AX20" s="1">
        <v>264.75736396000002</v>
      </c>
      <c r="AY20" s="4">
        <v>1337.9864130000001</v>
      </c>
      <c r="BB20" s="18"/>
      <c r="BC20">
        <f t="shared" si="1"/>
        <v>1098.73951278</v>
      </c>
      <c r="BD20" s="1" t="s">
        <v>17</v>
      </c>
      <c r="BE20">
        <f t="shared" si="4"/>
        <v>0</v>
      </c>
      <c r="BF20">
        <f t="shared" si="5"/>
        <v>4.119455263375315E-2</v>
      </c>
      <c r="BG20">
        <f t="shared" si="6"/>
        <v>1.4548634880304611E-4</v>
      </c>
      <c r="BH20">
        <f t="shared" si="7"/>
        <v>3.194755707946262E-3</v>
      </c>
      <c r="BI20">
        <f t="shared" si="8"/>
        <v>7.8397822229997027E-4</v>
      </c>
      <c r="BJ20">
        <f t="shared" si="9"/>
        <v>4.412507189928239E-4</v>
      </c>
      <c r="BK20">
        <f t="shared" si="10"/>
        <v>4.1596202346780593E-3</v>
      </c>
      <c r="BL20">
        <f t="shared" si="11"/>
        <v>3.9441241619092536E-3</v>
      </c>
      <c r="BM20">
        <f t="shared" si="12"/>
        <v>1.5629281099166625E-3</v>
      </c>
      <c r="BN20">
        <f t="shared" si="13"/>
        <v>4.9849571406982707E-2</v>
      </c>
      <c r="BO20">
        <f t="shared" si="14"/>
        <v>4.7707595758864518E-2</v>
      </c>
      <c r="BP20">
        <f t="shared" si="15"/>
        <v>2.4700094139086467E-2</v>
      </c>
      <c r="BQ20">
        <f t="shared" si="16"/>
        <v>2.8426306277977448E-2</v>
      </c>
      <c r="BR20">
        <f t="shared" si="17"/>
        <v>1.7985780005307657E-2</v>
      </c>
      <c r="BS20">
        <f t="shared" si="18"/>
        <v>9.2528449935117842E-4</v>
      </c>
      <c r="BT20">
        <f t="shared" si="19"/>
        <v>3.8488473307929046E-2</v>
      </c>
      <c r="BU20">
        <f t="shared" si="20"/>
        <v>0.13269080976356221</v>
      </c>
      <c r="BV20">
        <f t="shared" si="21"/>
        <v>0.14482982321021029</v>
      </c>
      <c r="BW20">
        <f t="shared" si="22"/>
        <v>4.9606580418768866E-5</v>
      </c>
      <c r="BX20">
        <f t="shared" si="23"/>
        <v>7.1128319397800917E-4</v>
      </c>
      <c r="BY20">
        <f t="shared" si="24"/>
        <v>5.6358020331247309E-3</v>
      </c>
      <c r="BZ20">
        <f t="shared" si="25"/>
        <v>6.4862125345509136E-5</v>
      </c>
      <c r="CA20">
        <f t="shared" si="26"/>
        <v>1.2419859157947993E-3</v>
      </c>
      <c r="CB20">
        <f t="shared" si="27"/>
        <v>1.0270747314299567E-3</v>
      </c>
      <c r="CC20">
        <f t="shared" si="28"/>
        <v>6.6072462731697479E-2</v>
      </c>
      <c r="CD20">
        <f t="shared" si="29"/>
        <v>3.1854755256269782E-2</v>
      </c>
      <c r="CE20">
        <f t="shared" si="30"/>
        <v>7.9327420090199319E-3</v>
      </c>
      <c r="CF20">
        <f t="shared" si="31"/>
        <v>1.0600650167326914E-3</v>
      </c>
      <c r="CG20">
        <f t="shared" si="32"/>
        <v>4.4781806267717247E-5</v>
      </c>
      <c r="CH20">
        <f t="shared" si="33"/>
        <v>0</v>
      </c>
      <c r="CI20">
        <f t="shared" si="34"/>
        <v>1.4343745188633826E-3</v>
      </c>
      <c r="CJ20">
        <f t="shared" si="35"/>
        <v>4.336569709725225E-3</v>
      </c>
      <c r="CK20">
        <f t="shared" si="36"/>
        <v>1.0113344219217985E-3</v>
      </c>
      <c r="CL20">
        <f t="shared" si="37"/>
        <v>2.2960433429912788E-2</v>
      </c>
      <c r="CM20">
        <f t="shared" si="38"/>
        <v>0</v>
      </c>
      <c r="CN20">
        <f t="shared" si="39"/>
        <v>8.0572411904991665E-3</v>
      </c>
      <c r="CO20">
        <f t="shared" si="40"/>
        <v>8.7861576722352344E-4</v>
      </c>
      <c r="CP20">
        <f t="shared" si="41"/>
        <v>4.0315297288183866E-3</v>
      </c>
      <c r="CQ20">
        <f t="shared" si="42"/>
        <v>7.2683280314494634E-4</v>
      </c>
      <c r="CR20">
        <f t="shared" si="43"/>
        <v>5.0078430201151096E-4</v>
      </c>
      <c r="CS20">
        <f t="shared" si="44"/>
        <v>8.8316163086263333E-4</v>
      </c>
      <c r="CT20">
        <f t="shared" si="45"/>
        <v>1.997325548480035E-4</v>
      </c>
    </row>
    <row r="21" spans="1:98" x14ac:dyDescent="0.25">
      <c r="A21" s="14"/>
      <c r="B21" s="11"/>
      <c r="C21" s="1" t="s">
        <v>18</v>
      </c>
      <c r="D21" s="1">
        <v>6.0545059300000004</v>
      </c>
      <c r="E21" s="1">
        <v>7.0622695899999997</v>
      </c>
      <c r="F21" s="1">
        <v>3.6789046399999998</v>
      </c>
      <c r="G21" s="1">
        <v>5.24301672</v>
      </c>
      <c r="H21" s="1">
        <v>13.09532031</v>
      </c>
      <c r="I21" s="1">
        <v>1.4491692300000001</v>
      </c>
      <c r="J21" s="1">
        <v>11.005682309999999</v>
      </c>
      <c r="K21" s="1">
        <v>6.8663298800000003</v>
      </c>
      <c r="L21" s="1">
        <v>18.263945880000001</v>
      </c>
      <c r="M21" s="1">
        <v>83.282242440000005</v>
      </c>
      <c r="N21" s="1">
        <v>35.737854159999998</v>
      </c>
      <c r="O21" s="1">
        <v>14.992957970000001</v>
      </c>
      <c r="P21" s="1">
        <v>10.706474910000001</v>
      </c>
      <c r="Q21" s="1">
        <v>5.5985559</v>
      </c>
      <c r="R21" s="1">
        <v>0.79546916999999995</v>
      </c>
      <c r="S21" s="1">
        <v>4.6416340500000004</v>
      </c>
      <c r="T21" s="1">
        <v>8.0067017800000002</v>
      </c>
      <c r="U21" s="1">
        <v>0.11896787</v>
      </c>
      <c r="V21" s="1">
        <v>239.30519716000001</v>
      </c>
      <c r="W21" s="1">
        <v>4.7055289299999998</v>
      </c>
      <c r="X21" s="1">
        <v>61.165631930000004</v>
      </c>
      <c r="Y21" s="1">
        <v>0.11709134</v>
      </c>
      <c r="Z21" s="1">
        <v>2.2626066499999999</v>
      </c>
      <c r="AA21" s="1">
        <v>1.3068070300000001</v>
      </c>
      <c r="AB21" s="1">
        <v>26.652734500000001</v>
      </c>
      <c r="AC21" s="1">
        <v>30.209712769999999</v>
      </c>
      <c r="AD21" s="1">
        <v>2.2527344399999998</v>
      </c>
      <c r="AE21" s="1">
        <v>31.727008900000001</v>
      </c>
      <c r="AF21" s="1">
        <v>5.1221503799999999</v>
      </c>
      <c r="AG21" s="1">
        <v>0</v>
      </c>
      <c r="AH21" s="1">
        <v>0.82057128999999995</v>
      </c>
      <c r="AI21" s="1">
        <v>11.277394790000001</v>
      </c>
      <c r="AJ21" s="1">
        <v>0.45424889000000002</v>
      </c>
      <c r="AK21" s="1">
        <v>22.623030809999999</v>
      </c>
      <c r="AL21" s="1">
        <v>0</v>
      </c>
      <c r="AM21" s="1">
        <v>5.9166881199999999</v>
      </c>
      <c r="AN21" s="1">
        <v>1.2663772499999999</v>
      </c>
      <c r="AO21" s="1">
        <v>5.1993223000000004</v>
      </c>
      <c r="AP21" s="1">
        <v>0.65843481999999998</v>
      </c>
      <c r="AQ21" s="1">
        <v>0.15093448000000001</v>
      </c>
      <c r="AR21" s="1">
        <v>0.67046437999999997</v>
      </c>
      <c r="AS21" s="1">
        <v>1.12888173</v>
      </c>
      <c r="AT21" s="4">
        <v>0</v>
      </c>
      <c r="AU21" s="1">
        <v>12.89378176</v>
      </c>
      <c r="AV21" s="1">
        <v>213.03200749999999</v>
      </c>
      <c r="AW21" s="1">
        <v>32.526417019999997</v>
      </c>
      <c r="AX21" s="1">
        <v>167.61180872</v>
      </c>
      <c r="AY21" s="4">
        <v>1787.5529285800001</v>
      </c>
      <c r="BB21" s="18"/>
      <c r="BC21">
        <f t="shared" si="1"/>
        <v>904.62556312999993</v>
      </c>
      <c r="BD21" s="1" t="s">
        <v>18</v>
      </c>
      <c r="BE21">
        <f t="shared" si="4"/>
        <v>6.6928309090132721E-3</v>
      </c>
      <c r="BF21">
        <f t="shared" si="5"/>
        <v>7.8068428285008682E-3</v>
      </c>
      <c r="BG21">
        <f t="shared" si="6"/>
        <v>4.0667705954174106E-3</v>
      </c>
      <c r="BH21">
        <f t="shared" si="7"/>
        <v>5.7957866035304026E-3</v>
      </c>
      <c r="BI21">
        <f t="shared" si="8"/>
        <v>1.4475956510327055E-2</v>
      </c>
      <c r="BJ21">
        <f t="shared" si="9"/>
        <v>1.6019547634558123E-3</v>
      </c>
      <c r="BK21">
        <f t="shared" si="10"/>
        <v>1.2166008521714103E-2</v>
      </c>
      <c r="BL21">
        <f t="shared" si="11"/>
        <v>7.5902452460469205E-3</v>
      </c>
      <c r="BM21">
        <f t="shared" si="12"/>
        <v>2.0189508924340852E-2</v>
      </c>
      <c r="BN21">
        <f t="shared" si="13"/>
        <v>9.2062667510570739E-2</v>
      </c>
      <c r="BO21">
        <f t="shared" si="14"/>
        <v>3.9505686790838851E-2</v>
      </c>
      <c r="BP21">
        <f t="shared" si="15"/>
        <v>1.6573661613236354E-2</v>
      </c>
      <c r="BQ21">
        <f t="shared" si="16"/>
        <v>1.1835255763672708E-2</v>
      </c>
      <c r="BR21">
        <f t="shared" si="17"/>
        <v>6.1888101864256686E-3</v>
      </c>
      <c r="BS21">
        <f t="shared" si="18"/>
        <v>8.7933527684944102E-4</v>
      </c>
      <c r="BT21">
        <f t="shared" si="19"/>
        <v>5.1310003156885926E-3</v>
      </c>
      <c r="BU21">
        <f t="shared" si="20"/>
        <v>8.8508462576459279E-3</v>
      </c>
      <c r="BV21">
        <f t="shared" si="21"/>
        <v>1.3151062146461102E-4</v>
      </c>
      <c r="BW21">
        <f t="shared" si="22"/>
        <v>0.26453508159995526</v>
      </c>
      <c r="BX21">
        <f t="shared" si="23"/>
        <v>5.2016316162002913E-3</v>
      </c>
      <c r="BY21">
        <f t="shared" si="24"/>
        <v>6.7614308530445699E-2</v>
      </c>
      <c r="BZ21">
        <f t="shared" si="25"/>
        <v>1.2943624939678306E-4</v>
      </c>
      <c r="CA21">
        <f t="shared" si="26"/>
        <v>2.5011526782101894E-3</v>
      </c>
      <c r="CB21">
        <f t="shared" si="27"/>
        <v>1.4445833538889331E-3</v>
      </c>
      <c r="CC21">
        <f t="shared" si="28"/>
        <v>2.9462725337742694E-2</v>
      </c>
      <c r="CD21">
        <f t="shared" si="29"/>
        <v>3.3394714897813128E-2</v>
      </c>
      <c r="CE21">
        <f t="shared" si="30"/>
        <v>2.4902396436881019E-3</v>
      </c>
      <c r="CF21">
        <f t="shared" si="31"/>
        <v>3.5071979162544016E-2</v>
      </c>
      <c r="CG21">
        <f t="shared" si="32"/>
        <v>5.6621773568694932E-3</v>
      </c>
      <c r="CH21">
        <f t="shared" si="33"/>
        <v>0</v>
      </c>
      <c r="CI21">
        <f t="shared" si="34"/>
        <v>9.0708390680540511E-4</v>
      </c>
      <c r="CJ21">
        <f t="shared" si="35"/>
        <v>1.246636757752044E-2</v>
      </c>
      <c r="CK21">
        <f t="shared" si="36"/>
        <v>5.0214023184167063E-4</v>
      </c>
      <c r="CL21">
        <f t="shared" si="37"/>
        <v>2.500817104009799E-2</v>
      </c>
      <c r="CM21">
        <f t="shared" si="38"/>
        <v>0</v>
      </c>
      <c r="CN21">
        <f t="shared" si="39"/>
        <v>6.5404830032972849E-3</v>
      </c>
      <c r="CO21">
        <f t="shared" si="40"/>
        <v>1.3998910727421199E-3</v>
      </c>
      <c r="CP21">
        <f t="shared" si="41"/>
        <v>5.747485492240979E-3</v>
      </c>
      <c r="CQ21">
        <f t="shared" si="42"/>
        <v>7.2785343111664757E-4</v>
      </c>
      <c r="CR21">
        <f t="shared" si="43"/>
        <v>1.6684746280855415E-4</v>
      </c>
      <c r="CS21">
        <f t="shared" si="44"/>
        <v>7.4115126448582387E-4</v>
      </c>
      <c r="CT21">
        <f t="shared" si="45"/>
        <v>1.2478994359766652E-3</v>
      </c>
    </row>
    <row r="22" spans="1:98" x14ac:dyDescent="0.25">
      <c r="A22" s="14"/>
      <c r="B22" s="11"/>
      <c r="C22" s="1" t="s">
        <v>19</v>
      </c>
      <c r="D22" s="1">
        <v>0</v>
      </c>
      <c r="E22" s="1">
        <v>0.98267987000000001</v>
      </c>
      <c r="F22" s="1">
        <v>0.13172776999999999</v>
      </c>
      <c r="G22" s="1">
        <v>1.12592128</v>
      </c>
      <c r="H22" s="1">
        <v>0.67436830999999997</v>
      </c>
      <c r="I22" s="1">
        <v>0.50829210000000002</v>
      </c>
      <c r="J22" s="1">
        <v>0.51338377000000002</v>
      </c>
      <c r="K22" s="1">
        <v>0.85939458000000002</v>
      </c>
      <c r="L22" s="1">
        <v>2.41681583</v>
      </c>
      <c r="M22" s="1">
        <v>9.1718250099999992</v>
      </c>
      <c r="N22" s="1">
        <v>54.668628079999998</v>
      </c>
      <c r="O22" s="1">
        <v>8.4245629700000002</v>
      </c>
      <c r="P22" s="1">
        <v>17.229496409999999</v>
      </c>
      <c r="Q22" s="1">
        <v>7.37010933</v>
      </c>
      <c r="R22" s="1">
        <v>61.58305051</v>
      </c>
      <c r="S22" s="1">
        <v>37.988056159999999</v>
      </c>
      <c r="T22" s="1">
        <v>6.1835375499999996</v>
      </c>
      <c r="U22" s="1">
        <v>4.4097673300000002</v>
      </c>
      <c r="V22" s="1">
        <v>0.58117936999999997</v>
      </c>
      <c r="W22" s="1">
        <v>0.75490172</v>
      </c>
      <c r="X22" s="1">
        <v>5.6863228399999999</v>
      </c>
      <c r="Y22" s="1">
        <v>1.2882499999999999E-3</v>
      </c>
      <c r="Z22" s="1">
        <v>0.54883941999999997</v>
      </c>
      <c r="AA22" s="1">
        <v>1.1888306500000001</v>
      </c>
      <c r="AB22" s="1">
        <v>18.318070299999999</v>
      </c>
      <c r="AC22" s="1">
        <v>13.712516989999999</v>
      </c>
      <c r="AD22" s="1">
        <v>1.0320742700000001</v>
      </c>
      <c r="AE22" s="1">
        <v>0.36513213</v>
      </c>
      <c r="AF22" s="1">
        <v>5.8642020000000003E-2</v>
      </c>
      <c r="AG22" s="1">
        <v>0</v>
      </c>
      <c r="AH22" s="1">
        <v>0.51877876999999994</v>
      </c>
      <c r="AI22" s="1">
        <v>3.26493631</v>
      </c>
      <c r="AJ22" s="1">
        <v>1.01989755</v>
      </c>
      <c r="AK22" s="1">
        <v>19.04226907</v>
      </c>
      <c r="AL22" s="1">
        <v>0</v>
      </c>
      <c r="AM22" s="1">
        <v>2.2281643500000001</v>
      </c>
      <c r="AN22" s="1">
        <v>0.34524849000000002</v>
      </c>
      <c r="AO22" s="1">
        <v>2.1799753700000002</v>
      </c>
      <c r="AP22" s="1">
        <v>0.60145314999999999</v>
      </c>
      <c r="AQ22" s="1">
        <v>0.10135572</v>
      </c>
      <c r="AR22" s="1">
        <v>0.28607034999999997</v>
      </c>
      <c r="AS22" s="1">
        <v>0.17978390999999999</v>
      </c>
      <c r="AT22" s="4">
        <v>28.023011109999999</v>
      </c>
      <c r="AU22" s="1">
        <v>0</v>
      </c>
      <c r="AV22" s="1">
        <v>98.966708650000001</v>
      </c>
      <c r="AW22" s="1">
        <v>0</v>
      </c>
      <c r="AX22" s="1">
        <v>70.943697549999996</v>
      </c>
      <c r="AY22" s="4">
        <v>494.18635415</v>
      </c>
      <c r="BB22" s="18"/>
      <c r="BC22">
        <f t="shared" si="1"/>
        <v>385.22405650999997</v>
      </c>
      <c r="BD22" s="1" t="s">
        <v>19</v>
      </c>
      <c r="BE22">
        <f t="shared" si="4"/>
        <v>0</v>
      </c>
      <c r="BF22">
        <f t="shared" si="5"/>
        <v>2.5509306944710261E-3</v>
      </c>
      <c r="BG22">
        <f t="shared" si="6"/>
        <v>3.4195104841948127E-4</v>
      </c>
      <c r="BH22">
        <f t="shared" si="7"/>
        <v>2.9227699074675321E-3</v>
      </c>
      <c r="BI22">
        <f t="shared" si="8"/>
        <v>1.7505872195769637E-3</v>
      </c>
      <c r="BJ22">
        <f t="shared" si="9"/>
        <v>1.3194713346953329E-3</v>
      </c>
      <c r="BK22">
        <f t="shared" si="10"/>
        <v>1.3326887595003381E-3</v>
      </c>
      <c r="BL22">
        <f t="shared" si="11"/>
        <v>2.2308954113245808E-3</v>
      </c>
      <c r="BM22">
        <f t="shared" si="12"/>
        <v>6.2737925868273552E-3</v>
      </c>
      <c r="BN22">
        <f t="shared" si="13"/>
        <v>2.3809066061693137E-2</v>
      </c>
      <c r="BO22">
        <f t="shared" si="14"/>
        <v>0.14191384768458992</v>
      </c>
      <c r="BP22">
        <f t="shared" si="15"/>
        <v>2.1869254600358295E-2</v>
      </c>
      <c r="BQ22">
        <f t="shared" si="16"/>
        <v>4.4725909814909863E-2</v>
      </c>
      <c r="BR22">
        <f t="shared" si="17"/>
        <v>1.9132006959198512E-2</v>
      </c>
      <c r="BS22">
        <f t="shared" si="18"/>
        <v>0.15986294072058133</v>
      </c>
      <c r="BT22">
        <f t="shared" si="19"/>
        <v>9.8612886495612381E-2</v>
      </c>
      <c r="BU22">
        <f t="shared" si="20"/>
        <v>1.605179491130633E-2</v>
      </c>
      <c r="BV22">
        <f t="shared" si="21"/>
        <v>1.1447279201488622E-2</v>
      </c>
      <c r="BW22">
        <f t="shared" si="22"/>
        <v>1.5086788069916741E-3</v>
      </c>
      <c r="BX22">
        <f t="shared" si="23"/>
        <v>1.9596432446071905E-3</v>
      </c>
      <c r="BY22">
        <f t="shared" si="24"/>
        <v>1.4761079283355684E-2</v>
      </c>
      <c r="BZ22">
        <f t="shared" si="25"/>
        <v>3.3441577134904566E-6</v>
      </c>
      <c r="CA22">
        <f t="shared" si="26"/>
        <v>1.424727793410152E-3</v>
      </c>
      <c r="CB22">
        <f t="shared" si="27"/>
        <v>3.0860758301815439E-3</v>
      </c>
      <c r="CC22">
        <f t="shared" si="28"/>
        <v>4.7551729935963856E-2</v>
      </c>
      <c r="CD22">
        <f t="shared" si="29"/>
        <v>3.5596211498915148E-2</v>
      </c>
      <c r="CE22">
        <f t="shared" si="30"/>
        <v>2.6791532163132408E-3</v>
      </c>
      <c r="CF22">
        <f t="shared" si="31"/>
        <v>9.4784353113347582E-4</v>
      </c>
      <c r="CG22">
        <f t="shared" si="32"/>
        <v>1.5222834350293938E-4</v>
      </c>
      <c r="CH22">
        <f t="shared" si="33"/>
        <v>0</v>
      </c>
      <c r="CI22">
        <f t="shared" si="34"/>
        <v>1.346693596189087E-3</v>
      </c>
      <c r="CJ22">
        <f t="shared" si="35"/>
        <v>8.4754216535156759E-3</v>
      </c>
      <c r="CK22">
        <f t="shared" si="36"/>
        <v>2.6475437677488988E-3</v>
      </c>
      <c r="CL22">
        <f t="shared" si="37"/>
        <v>4.9431671641995918E-2</v>
      </c>
      <c r="CM22">
        <f t="shared" si="38"/>
        <v>0</v>
      </c>
      <c r="CN22">
        <f t="shared" si="39"/>
        <v>5.7840737418800312E-3</v>
      </c>
      <c r="CO22">
        <f t="shared" si="40"/>
        <v>8.9622775152682545E-4</v>
      </c>
      <c r="CP22">
        <f t="shared" si="41"/>
        <v>5.6589803600269458E-3</v>
      </c>
      <c r="CQ22">
        <f t="shared" si="42"/>
        <v>1.5613073478561092E-3</v>
      </c>
      <c r="CR22">
        <f t="shared" si="43"/>
        <v>2.6310849046720663E-4</v>
      </c>
      <c r="CS22">
        <f t="shared" si="44"/>
        <v>7.4260769846956306E-4</v>
      </c>
      <c r="CT22">
        <f t="shared" si="45"/>
        <v>4.6669959199532239E-4</v>
      </c>
    </row>
    <row r="23" spans="1:98" x14ac:dyDescent="0.25">
      <c r="A23" s="14"/>
      <c r="B23" s="11"/>
      <c r="C23" s="1" t="s">
        <v>20</v>
      </c>
      <c r="D23" s="1">
        <v>0</v>
      </c>
      <c r="E23" s="1">
        <v>4.4710867199999997</v>
      </c>
      <c r="F23" s="1">
        <v>29.278154879999999</v>
      </c>
      <c r="G23" s="1">
        <v>48.894162229999999</v>
      </c>
      <c r="H23" s="1">
        <v>0.14393753000000001</v>
      </c>
      <c r="I23" s="1">
        <v>2.1891355699999999</v>
      </c>
      <c r="J23" s="1">
        <v>2.29882791</v>
      </c>
      <c r="K23" s="1">
        <v>9.1244318</v>
      </c>
      <c r="L23" s="1">
        <v>82.712937139999994</v>
      </c>
      <c r="M23" s="1">
        <v>6.21021467</v>
      </c>
      <c r="N23" s="1">
        <v>2.1520940300000002</v>
      </c>
      <c r="O23" s="1">
        <v>10.326282920000001</v>
      </c>
      <c r="P23" s="1">
        <v>22.466196149999998</v>
      </c>
      <c r="Q23" s="1">
        <v>3.00688354</v>
      </c>
      <c r="R23" s="1">
        <v>3.82470533</v>
      </c>
      <c r="S23" s="1">
        <v>311.28546362999998</v>
      </c>
      <c r="T23" s="1">
        <v>3.44154662</v>
      </c>
      <c r="U23" s="1">
        <v>36.499321170000002</v>
      </c>
      <c r="V23" s="1">
        <v>0.34346338999999998</v>
      </c>
      <c r="W23" s="1">
        <v>56.485522009999997</v>
      </c>
      <c r="X23" s="1">
        <v>3936.2737543799999</v>
      </c>
      <c r="Y23" s="1">
        <v>357.53082589000002</v>
      </c>
      <c r="Z23" s="1">
        <v>8.1157682199999996</v>
      </c>
      <c r="AA23" s="1">
        <v>19.094496970000002</v>
      </c>
      <c r="AB23" s="1">
        <v>92.630081129999994</v>
      </c>
      <c r="AC23" s="1">
        <v>197.04177272000001</v>
      </c>
      <c r="AD23" s="1">
        <v>5.8989753800000004</v>
      </c>
      <c r="AE23" s="1">
        <v>34.778122549999999</v>
      </c>
      <c r="AF23" s="1">
        <v>1008.97442671</v>
      </c>
      <c r="AG23" s="1">
        <v>1.5854420000000001E-2</v>
      </c>
      <c r="AH23" s="1">
        <v>9.5545450699999996</v>
      </c>
      <c r="AI23" s="1">
        <v>331.60148103</v>
      </c>
      <c r="AJ23" s="1">
        <v>2.2307017299999998</v>
      </c>
      <c r="AK23" s="1">
        <v>274.76539200000002</v>
      </c>
      <c r="AL23" s="1">
        <v>0</v>
      </c>
      <c r="AM23" s="1">
        <v>44.899910439999999</v>
      </c>
      <c r="AN23" s="1">
        <v>34.482630700000001</v>
      </c>
      <c r="AO23" s="1">
        <v>39.949515730000002</v>
      </c>
      <c r="AP23" s="1">
        <v>4.4526581900000002</v>
      </c>
      <c r="AQ23" s="1">
        <v>5.0379536099999997</v>
      </c>
      <c r="AR23" s="1">
        <v>5.0288747799999998</v>
      </c>
      <c r="AS23" s="1">
        <v>1.87381818</v>
      </c>
      <c r="AT23" s="4">
        <v>0</v>
      </c>
      <c r="AU23" s="1">
        <v>0</v>
      </c>
      <c r="AV23" s="1">
        <v>1042.5591309199999</v>
      </c>
      <c r="AW23" s="1">
        <v>1030.4850623699999</v>
      </c>
      <c r="AX23" s="1">
        <v>12.07406855</v>
      </c>
      <c r="AY23" s="4">
        <v>10017.575708660001</v>
      </c>
      <c r="BB23" s="18"/>
      <c r="BC23">
        <f t="shared" si="1"/>
        <v>8091.9450579900013</v>
      </c>
      <c r="BD23" s="1" t="s">
        <v>20</v>
      </c>
      <c r="BE23">
        <f t="shared" si="4"/>
        <v>0</v>
      </c>
      <c r="BF23">
        <f t="shared" si="5"/>
        <v>5.52535476694227E-4</v>
      </c>
      <c r="BG23">
        <f t="shared" si="6"/>
        <v>3.6181850803708431E-3</v>
      </c>
      <c r="BH23">
        <f t="shared" si="7"/>
        <v>6.0423250379983504E-3</v>
      </c>
      <c r="BI23">
        <f t="shared" si="8"/>
        <v>1.7787754238132874E-5</v>
      </c>
      <c r="BJ23">
        <f t="shared" si="9"/>
        <v>2.7053267839954539E-4</v>
      </c>
      <c r="BK23">
        <f t="shared" si="10"/>
        <v>2.8408842293487066E-4</v>
      </c>
      <c r="BL23">
        <f t="shared" si="11"/>
        <v>1.127594383626038E-3</v>
      </c>
      <c r="BM23">
        <f t="shared" si="12"/>
        <v>1.0221638499427166E-2</v>
      </c>
      <c r="BN23">
        <f t="shared" si="13"/>
        <v>7.6745635635131046E-4</v>
      </c>
      <c r="BO23">
        <f t="shared" si="14"/>
        <v>2.6595509665195002E-4</v>
      </c>
      <c r="BP23">
        <f t="shared" si="15"/>
        <v>1.2761187632884148E-3</v>
      </c>
      <c r="BQ23">
        <f t="shared" si="16"/>
        <v>2.7763653842183267E-3</v>
      </c>
      <c r="BR23">
        <f t="shared" si="17"/>
        <v>3.7158971278864503E-4</v>
      </c>
      <c r="BS23">
        <f t="shared" si="18"/>
        <v>4.7265586982989696E-4</v>
      </c>
      <c r="BT23">
        <f t="shared" si="19"/>
        <v>3.8468558720951292E-2</v>
      </c>
      <c r="BU23">
        <f t="shared" si="20"/>
        <v>4.253052381518348E-4</v>
      </c>
      <c r="BV23">
        <f t="shared" si="21"/>
        <v>4.5105745168104554E-3</v>
      </c>
      <c r="BW23">
        <f t="shared" si="22"/>
        <v>4.2445096640994074E-5</v>
      </c>
      <c r="BX23">
        <f t="shared" si="23"/>
        <v>6.9804628683466019E-3</v>
      </c>
      <c r="BY23">
        <f t="shared" si="24"/>
        <v>0.48644346027699681</v>
      </c>
      <c r="BZ23">
        <f t="shared" si="25"/>
        <v>4.4183545900002549E-2</v>
      </c>
      <c r="CA23">
        <f t="shared" si="26"/>
        <v>1.0029440587941802E-3</v>
      </c>
      <c r="CB23">
        <f t="shared" si="27"/>
        <v>2.3596918705158609E-3</v>
      </c>
      <c r="CC23">
        <f t="shared" si="28"/>
        <v>1.1447196003702087E-2</v>
      </c>
      <c r="CD23">
        <f t="shared" si="29"/>
        <v>2.4350359685826169E-2</v>
      </c>
      <c r="CE23">
        <f t="shared" si="30"/>
        <v>7.2899350375288841E-4</v>
      </c>
      <c r="CF23">
        <f t="shared" si="31"/>
        <v>4.2978693380598303E-3</v>
      </c>
      <c r="CG23">
        <f t="shared" si="32"/>
        <v>0.12468873916954451</v>
      </c>
      <c r="CH23">
        <f t="shared" si="33"/>
        <v>1.9592841877176757E-6</v>
      </c>
      <c r="CI23">
        <f t="shared" si="34"/>
        <v>1.1807476449145961E-3</v>
      </c>
      <c r="CJ23">
        <f t="shared" si="35"/>
        <v>4.0979205698211715E-2</v>
      </c>
      <c r="CK23">
        <f t="shared" si="36"/>
        <v>2.7566941124957355E-4</v>
      </c>
      <c r="CL23">
        <f t="shared" si="37"/>
        <v>3.3955419868885069E-2</v>
      </c>
      <c r="CM23">
        <f t="shared" si="38"/>
        <v>0</v>
      </c>
      <c r="CN23">
        <f t="shared" si="39"/>
        <v>5.5487166704951546E-3</v>
      </c>
      <c r="CO23">
        <f t="shared" si="40"/>
        <v>4.2613525490947058E-3</v>
      </c>
      <c r="CP23">
        <f t="shared" si="41"/>
        <v>4.9369484646406211E-3</v>
      </c>
      <c r="CQ23">
        <f t="shared" si="42"/>
        <v>5.5025808481033093E-4</v>
      </c>
      <c r="CR23">
        <f t="shared" si="43"/>
        <v>6.2258870690496293E-4</v>
      </c>
      <c r="CS23">
        <f t="shared" si="44"/>
        <v>6.2146674797729619E-4</v>
      </c>
      <c r="CT23">
        <f t="shared" si="45"/>
        <v>2.3156585549846123E-4</v>
      </c>
    </row>
    <row r="24" spans="1:98" x14ac:dyDescent="0.25">
      <c r="A24" s="14"/>
      <c r="B24" s="11"/>
      <c r="C24" s="1" t="s">
        <v>21</v>
      </c>
      <c r="D24" s="1">
        <v>0</v>
      </c>
      <c r="E24" s="1">
        <v>0.46584386</v>
      </c>
      <c r="F24" s="1">
        <v>0</v>
      </c>
      <c r="G24" s="1">
        <v>7.1447030600000003</v>
      </c>
      <c r="H24" s="1">
        <v>7.58014E-3</v>
      </c>
      <c r="I24" s="1">
        <v>0.40476130999999999</v>
      </c>
      <c r="J24" s="1">
        <v>8.0830349999999995E-2</v>
      </c>
      <c r="K24" s="1">
        <v>1.12935392</v>
      </c>
      <c r="L24" s="1">
        <v>16.471193769999999</v>
      </c>
      <c r="M24" s="1">
        <v>0.82758259000000001</v>
      </c>
      <c r="N24" s="1">
        <v>0.96428506000000003</v>
      </c>
      <c r="O24" s="1">
        <v>2.2167823200000001</v>
      </c>
      <c r="P24" s="1">
        <v>0.28369755000000002</v>
      </c>
      <c r="Q24" s="1">
        <v>1.0501480000000001E-2</v>
      </c>
      <c r="R24" s="1">
        <v>0.89212933999999999</v>
      </c>
      <c r="S24" s="1">
        <v>0.51453307000000004</v>
      </c>
      <c r="T24" s="1">
        <v>5.6192150000000003E-2</v>
      </c>
      <c r="U24" s="1">
        <v>0.65395203000000002</v>
      </c>
      <c r="V24" s="1">
        <v>5.9393400000000004E-3</v>
      </c>
      <c r="W24" s="1">
        <v>5.7074142099999996</v>
      </c>
      <c r="X24" s="1">
        <v>12.23417325</v>
      </c>
      <c r="Y24" s="1">
        <v>726.4732252</v>
      </c>
      <c r="Z24" s="1">
        <v>1.0684358</v>
      </c>
      <c r="AA24" s="1">
        <v>1.0023252600000001</v>
      </c>
      <c r="AB24" s="1">
        <v>26.713608059999999</v>
      </c>
      <c r="AC24" s="1">
        <v>88.795861560000006</v>
      </c>
      <c r="AD24" s="1">
        <v>0.89929395999999995</v>
      </c>
      <c r="AE24" s="1">
        <v>13.392601129999999</v>
      </c>
      <c r="AF24" s="1">
        <v>53.296666379999998</v>
      </c>
      <c r="AG24" s="1">
        <v>341.68215672000002</v>
      </c>
      <c r="AH24" s="1">
        <v>1.32000725</v>
      </c>
      <c r="AI24" s="1">
        <v>21.561029789999999</v>
      </c>
      <c r="AJ24" s="1">
        <v>0.70941383000000002</v>
      </c>
      <c r="AK24" s="1">
        <v>52.872750859999996</v>
      </c>
      <c r="AL24" s="1">
        <v>0</v>
      </c>
      <c r="AM24" s="1">
        <v>6.1685599299999998</v>
      </c>
      <c r="AN24" s="1">
        <v>1.5651436999999999</v>
      </c>
      <c r="AO24" s="1">
        <v>4.7895687899999997</v>
      </c>
      <c r="AP24" s="1">
        <v>1.0191616100000001</v>
      </c>
      <c r="AQ24" s="1">
        <v>0.89393591999999999</v>
      </c>
      <c r="AR24" s="1">
        <v>0.28208621</v>
      </c>
      <c r="AS24" s="1">
        <v>0.31414329000000002</v>
      </c>
      <c r="AT24" s="4">
        <v>0</v>
      </c>
      <c r="AU24" s="1">
        <v>18.67398902</v>
      </c>
      <c r="AV24" s="1">
        <v>404.23562107999999</v>
      </c>
      <c r="AW24" s="1">
        <v>385.56163144999999</v>
      </c>
      <c r="AX24" s="1">
        <v>6.0999999999999998E-7</v>
      </c>
      <c r="AY24" s="4">
        <v>2113.9289425799998</v>
      </c>
      <c r="BB24" s="18"/>
      <c r="BC24">
        <f t="shared" si="1"/>
        <v>1799.1270451299997</v>
      </c>
      <c r="BD24" s="1" t="s">
        <v>21</v>
      </c>
      <c r="BE24">
        <f t="shared" si="4"/>
        <v>0</v>
      </c>
      <c r="BF24">
        <f t="shared" si="5"/>
        <v>2.5892771789573065E-4</v>
      </c>
      <c r="BG24">
        <f t="shared" si="6"/>
        <v>0</v>
      </c>
      <c r="BH24">
        <f t="shared" si="7"/>
        <v>3.9712054128360598E-3</v>
      </c>
      <c r="BI24">
        <f t="shared" si="8"/>
        <v>4.2132322008712179E-6</v>
      </c>
      <c r="BJ24">
        <f t="shared" si="9"/>
        <v>2.2497650240745122E-4</v>
      </c>
      <c r="BK24">
        <f t="shared" si="10"/>
        <v>4.4927538729850747E-5</v>
      </c>
      <c r="BL24">
        <f t="shared" si="11"/>
        <v>6.2772327449415674E-4</v>
      </c>
      <c r="BM24">
        <f t="shared" si="12"/>
        <v>9.1551032010692927E-3</v>
      </c>
      <c r="BN24">
        <f t="shared" si="13"/>
        <v>4.5999118974958283E-4</v>
      </c>
      <c r="BO24">
        <f t="shared" si="14"/>
        <v>5.359738561043773E-4</v>
      </c>
      <c r="BP24">
        <f t="shared" si="15"/>
        <v>1.2321432919373528E-3</v>
      </c>
      <c r="BQ24">
        <f t="shared" si="16"/>
        <v>1.5768622386503052E-4</v>
      </c>
      <c r="BR24">
        <f t="shared" si="17"/>
        <v>5.8369863475879178E-6</v>
      </c>
      <c r="BS24">
        <f t="shared" si="18"/>
        <v>4.9586789460748573E-4</v>
      </c>
      <c r="BT24">
        <f t="shared" si="19"/>
        <v>2.8599040373095017E-4</v>
      </c>
      <c r="BU24">
        <f t="shared" si="20"/>
        <v>3.1233008337073671E-5</v>
      </c>
      <c r="BV24">
        <f t="shared" si="21"/>
        <v>3.6348296345728453E-4</v>
      </c>
      <c r="BW24">
        <f t="shared" si="22"/>
        <v>3.3012343492234264E-6</v>
      </c>
      <c r="BX24">
        <f t="shared" si="23"/>
        <v>3.1723241699074109E-3</v>
      </c>
      <c r="BY24">
        <f t="shared" si="24"/>
        <v>6.800060775650223E-3</v>
      </c>
      <c r="BZ24">
        <f t="shared" si="25"/>
        <v>0.40379206524990408</v>
      </c>
      <c r="CA24">
        <f t="shared" si="26"/>
        <v>5.9386345332983301E-4</v>
      </c>
      <c r="CB24">
        <f t="shared" si="27"/>
        <v>5.5711755471252731E-4</v>
      </c>
      <c r="CC24">
        <f t="shared" si="28"/>
        <v>1.4848094320137215E-2</v>
      </c>
      <c r="CD24">
        <f t="shared" si="29"/>
        <v>4.935497012307092E-2</v>
      </c>
      <c r="CE24">
        <f t="shared" si="30"/>
        <v>4.9985017035582367E-4</v>
      </c>
      <c r="CF24">
        <f t="shared" si="31"/>
        <v>7.4439440873572595E-3</v>
      </c>
      <c r="CG24">
        <f t="shared" si="32"/>
        <v>2.9623625815790533E-2</v>
      </c>
      <c r="CH24">
        <f t="shared" si="33"/>
        <v>0.18991552466785971</v>
      </c>
      <c r="CI24">
        <f t="shared" si="34"/>
        <v>7.3369318390998901E-4</v>
      </c>
      <c r="CJ24">
        <f t="shared" si="35"/>
        <v>1.1984161901385936E-2</v>
      </c>
      <c r="CK24">
        <f t="shared" si="36"/>
        <v>3.943100249203023E-4</v>
      </c>
      <c r="CL24">
        <f t="shared" si="37"/>
        <v>2.9388002922372591E-2</v>
      </c>
      <c r="CM24">
        <f t="shared" si="38"/>
        <v>0</v>
      </c>
      <c r="CN24">
        <f t="shared" si="39"/>
        <v>3.4286405435888924E-3</v>
      </c>
      <c r="CO24">
        <f t="shared" si="40"/>
        <v>8.6994617986352774E-4</v>
      </c>
      <c r="CP24">
        <f t="shared" si="41"/>
        <v>2.6621626321302505E-3</v>
      </c>
      <c r="CQ24">
        <f t="shared" si="42"/>
        <v>5.6647562091778701E-4</v>
      </c>
      <c r="CR24">
        <f t="shared" si="43"/>
        <v>4.9687203714699694E-4</v>
      </c>
      <c r="CS24">
        <f t="shared" si="44"/>
        <v>1.5679060062132369E-4</v>
      </c>
      <c r="CT24">
        <f t="shared" si="45"/>
        <v>1.7460873085663661E-4</v>
      </c>
    </row>
    <row r="25" spans="1:98" x14ac:dyDescent="0.25">
      <c r="A25" s="14"/>
      <c r="B25" s="11"/>
      <c r="C25" s="1" t="s">
        <v>22</v>
      </c>
      <c r="D25" s="1">
        <v>0</v>
      </c>
      <c r="E25" s="1">
        <v>0.29285625999999998</v>
      </c>
      <c r="F25" s="1">
        <v>4.0803104299999999</v>
      </c>
      <c r="G25" s="1">
        <v>5.71939039</v>
      </c>
      <c r="H25" s="1">
        <v>3.5372359999999999E-2</v>
      </c>
      <c r="I25" s="1">
        <v>4.46698401</v>
      </c>
      <c r="J25" s="1">
        <v>0.17502355</v>
      </c>
      <c r="K25" s="1">
        <v>0.61503417999999999</v>
      </c>
      <c r="L25" s="1">
        <v>2.9753543800000002</v>
      </c>
      <c r="M25" s="1">
        <v>56.147846379999997</v>
      </c>
      <c r="N25" s="1">
        <v>0.2542625</v>
      </c>
      <c r="O25" s="1">
        <v>3.0815498099999998</v>
      </c>
      <c r="P25" s="1">
        <v>3.0616614499999999</v>
      </c>
      <c r="Q25" s="1">
        <v>3.3238002299999998</v>
      </c>
      <c r="R25" s="1">
        <v>0.25192790999999998</v>
      </c>
      <c r="S25" s="1">
        <v>0.34758314000000001</v>
      </c>
      <c r="T25" s="1">
        <v>0.12009628999999999</v>
      </c>
      <c r="U25" s="1">
        <v>0.48272615000000002</v>
      </c>
      <c r="V25" s="1">
        <v>6.1815200000000002E-3</v>
      </c>
      <c r="W25" s="1">
        <v>5.5294787300000001</v>
      </c>
      <c r="X25" s="1">
        <v>51.124437649999997</v>
      </c>
      <c r="Y25" s="1">
        <v>9.3342999999999996E-4</v>
      </c>
      <c r="Z25" s="1">
        <v>23.35110633</v>
      </c>
      <c r="AA25" s="1">
        <v>1.8424959000000001</v>
      </c>
      <c r="AB25" s="1">
        <v>9.4801751200000002</v>
      </c>
      <c r="AC25" s="1">
        <v>6.3763260199999996</v>
      </c>
      <c r="AD25" s="1">
        <v>0.66880444999999999</v>
      </c>
      <c r="AE25" s="1">
        <v>0.64264708999999998</v>
      </c>
      <c r="AF25" s="1">
        <v>0</v>
      </c>
      <c r="AG25" s="1">
        <v>0</v>
      </c>
      <c r="AH25" s="1">
        <v>1.12512568</v>
      </c>
      <c r="AI25" s="1">
        <v>35.48634946</v>
      </c>
      <c r="AJ25" s="1">
        <v>0.41943472999999998</v>
      </c>
      <c r="AK25" s="1">
        <v>29.101625479999999</v>
      </c>
      <c r="AL25" s="1">
        <v>0</v>
      </c>
      <c r="AM25" s="1">
        <v>4.6255290699999998</v>
      </c>
      <c r="AN25" s="1">
        <v>29.45059732</v>
      </c>
      <c r="AO25" s="1">
        <v>5.1769894699999996</v>
      </c>
      <c r="AP25" s="1">
        <v>0.76263024999999995</v>
      </c>
      <c r="AQ25" s="1">
        <v>2.392006E-2</v>
      </c>
      <c r="AR25" s="1">
        <v>2.2131812599999998</v>
      </c>
      <c r="AS25" s="1">
        <v>0.31341982000000002</v>
      </c>
      <c r="AT25" s="4">
        <v>0</v>
      </c>
      <c r="AU25" s="1">
        <v>-5.6221103100000001</v>
      </c>
      <c r="AV25" s="1">
        <v>189.62880565</v>
      </c>
      <c r="AW25" s="1">
        <v>195.25091595999999</v>
      </c>
      <c r="AX25" s="1">
        <v>0</v>
      </c>
      <c r="AY25" s="4">
        <v>594.66328242999998</v>
      </c>
      <c r="BB25" s="18"/>
      <c r="BC25">
        <f t="shared" si="1"/>
        <v>482.78197390999998</v>
      </c>
      <c r="BD25" s="1" t="s">
        <v>22</v>
      </c>
      <c r="BE25">
        <f t="shared" si="4"/>
        <v>0</v>
      </c>
      <c r="BF25">
        <f t="shared" si="5"/>
        <v>6.0660148022551096E-4</v>
      </c>
      <c r="BG25">
        <f t="shared" si="6"/>
        <v>8.4516627598043865E-3</v>
      </c>
      <c r="BH25">
        <f t="shared" si="7"/>
        <v>1.1846735584759439E-2</v>
      </c>
      <c r="BI25">
        <f t="shared" si="8"/>
        <v>7.3267772848938426E-5</v>
      </c>
      <c r="BJ25">
        <f t="shared" si="9"/>
        <v>9.2525907167211943E-3</v>
      </c>
      <c r="BK25">
        <f t="shared" si="10"/>
        <v>3.6253124486505334E-4</v>
      </c>
      <c r="BL25">
        <f t="shared" si="11"/>
        <v>1.273937746720126E-3</v>
      </c>
      <c r="BM25">
        <f t="shared" si="12"/>
        <v>6.1629359437406512E-3</v>
      </c>
      <c r="BN25">
        <f t="shared" si="13"/>
        <v>0.11630062722778266</v>
      </c>
      <c r="BO25">
        <f t="shared" si="14"/>
        <v>5.2666113015934499E-4</v>
      </c>
      <c r="BP25">
        <f t="shared" si="15"/>
        <v>6.3829015508654044E-3</v>
      </c>
      <c r="BQ25">
        <f t="shared" si="16"/>
        <v>6.3417062265269117E-3</v>
      </c>
      <c r="BR25">
        <f t="shared" si="17"/>
        <v>6.8846817189152582E-3</v>
      </c>
      <c r="BS25">
        <f t="shared" si="18"/>
        <v>5.2182542765559904E-4</v>
      </c>
      <c r="BT25">
        <f t="shared" si="19"/>
        <v>7.1995881947488848E-4</v>
      </c>
      <c r="BU25">
        <f t="shared" si="20"/>
        <v>2.4875885283651519E-4</v>
      </c>
      <c r="BV25">
        <f t="shared" si="21"/>
        <v>9.9988437035138686E-4</v>
      </c>
      <c r="BW25">
        <f t="shared" si="22"/>
        <v>1.2803957757445925E-5</v>
      </c>
      <c r="BX25">
        <f t="shared" si="23"/>
        <v>1.1453366175247469E-2</v>
      </c>
      <c r="BY25">
        <f t="shared" si="24"/>
        <v>0.10589549820170087</v>
      </c>
      <c r="BZ25">
        <f t="shared" si="25"/>
        <v>1.9334400421793908E-6</v>
      </c>
      <c r="CA25">
        <f t="shared" si="26"/>
        <v>4.8367809056501981E-2</v>
      </c>
      <c r="CB25">
        <f t="shared" si="27"/>
        <v>3.8164140327730574E-3</v>
      </c>
      <c r="CC25">
        <f t="shared" si="28"/>
        <v>1.9636555696603723E-2</v>
      </c>
      <c r="CD25">
        <f t="shared" si="29"/>
        <v>1.3207464993688169E-2</v>
      </c>
      <c r="CE25">
        <f t="shared" si="30"/>
        <v>1.3853136325356636E-3</v>
      </c>
      <c r="CF25">
        <f t="shared" si="31"/>
        <v>1.3311331506337518E-3</v>
      </c>
      <c r="CG25">
        <f t="shared" si="32"/>
        <v>0</v>
      </c>
      <c r="CH25">
        <f t="shared" si="33"/>
        <v>0</v>
      </c>
      <c r="CI25">
        <f t="shared" si="34"/>
        <v>2.3305047429333921E-3</v>
      </c>
      <c r="CJ25">
        <f t="shared" si="35"/>
        <v>7.3503882451533595E-2</v>
      </c>
      <c r="CK25">
        <f t="shared" si="36"/>
        <v>8.6878705640776647E-4</v>
      </c>
      <c r="CL25">
        <f t="shared" si="37"/>
        <v>6.0279022525031374E-2</v>
      </c>
      <c r="CM25">
        <f t="shared" si="38"/>
        <v>0</v>
      </c>
      <c r="CN25">
        <f t="shared" si="39"/>
        <v>9.5809895977232353E-3</v>
      </c>
      <c r="CO25">
        <f t="shared" si="40"/>
        <v>6.1001857798216319E-2</v>
      </c>
      <c r="CP25">
        <f t="shared" si="41"/>
        <v>1.0723245170220651E-2</v>
      </c>
      <c r="CQ25">
        <f t="shared" si="42"/>
        <v>1.5796576740915542E-3</v>
      </c>
      <c r="CR25">
        <f t="shared" si="43"/>
        <v>4.9546298935467644E-5</v>
      </c>
      <c r="CS25">
        <f t="shared" si="44"/>
        <v>4.584225135987741E-3</v>
      </c>
      <c r="CT25">
        <f t="shared" si="45"/>
        <v>6.4919536548070785E-4</v>
      </c>
    </row>
    <row r="26" spans="1:98" x14ac:dyDescent="0.25">
      <c r="A26" s="14"/>
      <c r="B26" s="11"/>
      <c r="C26" s="1" t="s">
        <v>23</v>
      </c>
      <c r="D26" s="1">
        <v>0</v>
      </c>
      <c r="E26" s="1">
        <v>3859.4754263200002</v>
      </c>
      <c r="F26" s="1">
        <v>126.50292342</v>
      </c>
      <c r="G26" s="1">
        <v>108.54808463000001</v>
      </c>
      <c r="H26" s="1">
        <v>9.8683192300000009</v>
      </c>
      <c r="I26" s="1">
        <v>25.731618210000001</v>
      </c>
      <c r="J26" s="1">
        <v>699.01111562000006</v>
      </c>
      <c r="K26" s="1">
        <v>51.699018940000002</v>
      </c>
      <c r="L26" s="1">
        <v>360.54737304000002</v>
      </c>
      <c r="M26" s="1">
        <v>773.97801775999994</v>
      </c>
      <c r="N26" s="1">
        <v>2730.1373469999999</v>
      </c>
      <c r="O26" s="1">
        <v>1664.5122252000001</v>
      </c>
      <c r="P26" s="1">
        <v>390.91283748000001</v>
      </c>
      <c r="Q26" s="1">
        <v>256.30485302</v>
      </c>
      <c r="R26" s="1">
        <v>33.467424710000003</v>
      </c>
      <c r="S26" s="1">
        <v>1583.817755</v>
      </c>
      <c r="T26" s="1">
        <v>236.80168742999999</v>
      </c>
      <c r="U26" s="1">
        <v>39.211245009999999</v>
      </c>
      <c r="V26" s="1">
        <v>17.018571550000001</v>
      </c>
      <c r="W26" s="1">
        <v>9.1268718900000003</v>
      </c>
      <c r="X26" s="1">
        <v>87.010019</v>
      </c>
      <c r="Y26" s="1">
        <v>3.2032980000000003E-2</v>
      </c>
      <c r="Z26" s="1">
        <v>33.26670137</v>
      </c>
      <c r="AA26" s="1">
        <v>1003.22227274</v>
      </c>
      <c r="AB26" s="1">
        <v>1275.46422493</v>
      </c>
      <c r="AC26" s="1">
        <v>1186.6789724499999</v>
      </c>
      <c r="AD26" s="1">
        <v>157.01267276999999</v>
      </c>
      <c r="AE26" s="1">
        <v>84.041136980000005</v>
      </c>
      <c r="AF26" s="1">
        <v>25.633651069999999</v>
      </c>
      <c r="AG26" s="1">
        <v>0</v>
      </c>
      <c r="AH26" s="1">
        <v>167.01096541000001</v>
      </c>
      <c r="AI26" s="1">
        <v>652.84877486000005</v>
      </c>
      <c r="AJ26" s="1">
        <v>13.106840200000001</v>
      </c>
      <c r="AK26" s="1">
        <v>718.47533156999998</v>
      </c>
      <c r="AL26" s="1">
        <v>0</v>
      </c>
      <c r="AM26" s="1">
        <v>2762.2700540000001</v>
      </c>
      <c r="AN26" s="1">
        <v>21.61563456</v>
      </c>
      <c r="AO26" s="1">
        <v>248.54746495000001</v>
      </c>
      <c r="AP26" s="1">
        <v>15.100119469999999</v>
      </c>
      <c r="AQ26" s="1">
        <v>11.798416870000001</v>
      </c>
      <c r="AR26" s="1">
        <v>12.77599717</v>
      </c>
      <c r="AS26" s="1">
        <v>2.6516740099999998</v>
      </c>
      <c r="AT26" s="4">
        <v>28817.692879179998</v>
      </c>
      <c r="AU26" s="1">
        <v>0</v>
      </c>
      <c r="AV26" s="1">
        <v>28927.887622319999</v>
      </c>
      <c r="AW26" s="1">
        <v>0</v>
      </c>
      <c r="AX26" s="1">
        <v>110.19474314</v>
      </c>
      <c r="AY26" s="4">
        <v>30871.137541510001</v>
      </c>
      <c r="BB26" s="18"/>
      <c r="BC26">
        <f t="shared" si="1"/>
        <v>50383.123295139994</v>
      </c>
      <c r="BD26" s="1" t="s">
        <v>23</v>
      </c>
      <c r="BE26">
        <f t="shared" si="4"/>
        <v>0</v>
      </c>
      <c r="BF26">
        <f t="shared" si="5"/>
        <v>7.6602544143830179E-2</v>
      </c>
      <c r="BG26">
        <f t="shared" si="6"/>
        <v>2.5108194003566784E-3</v>
      </c>
      <c r="BH26">
        <f t="shared" si="7"/>
        <v>2.1544532678955744E-3</v>
      </c>
      <c r="BI26">
        <f t="shared" si="8"/>
        <v>1.9586557133808948E-4</v>
      </c>
      <c r="BJ26">
        <f t="shared" si="9"/>
        <v>5.1071899729729733E-4</v>
      </c>
      <c r="BK26">
        <f t="shared" si="10"/>
        <v>1.3873913920049243E-2</v>
      </c>
      <c r="BL26">
        <f t="shared" si="11"/>
        <v>1.0261177862505983E-3</v>
      </c>
      <c r="BM26">
        <f t="shared" si="12"/>
        <v>7.1561139814208139E-3</v>
      </c>
      <c r="BN26">
        <f t="shared" si="13"/>
        <v>1.5361850698022499E-2</v>
      </c>
      <c r="BO26">
        <f t="shared" si="14"/>
        <v>5.4187536787012797E-2</v>
      </c>
      <c r="BP26">
        <f t="shared" si="15"/>
        <v>3.3037098860454341E-2</v>
      </c>
      <c r="BQ26">
        <f t="shared" si="16"/>
        <v>7.7588051695419175E-3</v>
      </c>
      <c r="BR26">
        <f t="shared" si="17"/>
        <v>5.0871171983242931E-3</v>
      </c>
      <c r="BS26">
        <f t="shared" si="18"/>
        <v>6.6425863505822599E-4</v>
      </c>
      <c r="BT26">
        <f t="shared" si="19"/>
        <v>3.1435481792625918E-2</v>
      </c>
      <c r="BU26">
        <f t="shared" si="20"/>
        <v>4.7000200055648811E-3</v>
      </c>
      <c r="BV26">
        <f t="shared" si="21"/>
        <v>7.7826149800805128E-4</v>
      </c>
      <c r="BW26">
        <f t="shared" si="22"/>
        <v>3.3778317890906993E-4</v>
      </c>
      <c r="BX26">
        <f t="shared" si="23"/>
        <v>1.8114938680032937E-4</v>
      </c>
      <c r="BY26">
        <f t="shared" si="24"/>
        <v>1.726967550032633E-3</v>
      </c>
      <c r="BZ26">
        <f t="shared" si="25"/>
        <v>6.3578789691844963E-7</v>
      </c>
      <c r="CA26">
        <f t="shared" si="26"/>
        <v>6.602746950626012E-4</v>
      </c>
      <c r="CB26">
        <f t="shared" si="27"/>
        <v>1.9911871418991044E-2</v>
      </c>
      <c r="CC26">
        <f t="shared" si="28"/>
        <v>2.5315306823247945E-2</v>
      </c>
      <c r="CD26">
        <f t="shared" si="29"/>
        <v>2.3553104588187931E-2</v>
      </c>
      <c r="CE26">
        <f t="shared" si="30"/>
        <v>3.1163743432544521E-3</v>
      </c>
      <c r="CF26">
        <f t="shared" si="31"/>
        <v>1.6680414290256335E-3</v>
      </c>
      <c r="CG26">
        <f t="shared" si="32"/>
        <v>5.0877455372983296E-4</v>
      </c>
      <c r="CH26">
        <f t="shared" si="33"/>
        <v>0</v>
      </c>
      <c r="CI26">
        <f t="shared" si="34"/>
        <v>3.314819615919088E-3</v>
      </c>
      <c r="CJ26">
        <f t="shared" si="35"/>
        <v>1.2957687657346452E-2</v>
      </c>
      <c r="CK26">
        <f t="shared" si="36"/>
        <v>2.6014346358047832E-4</v>
      </c>
      <c r="CL26">
        <f t="shared" si="37"/>
        <v>1.4260238043624914E-2</v>
      </c>
      <c r="CM26">
        <f t="shared" si="38"/>
        <v>0</v>
      </c>
      <c r="CN26">
        <f t="shared" si="39"/>
        <v>5.4825304057052202E-2</v>
      </c>
      <c r="CO26">
        <f t="shared" si="40"/>
        <v>4.2902529947136218E-4</v>
      </c>
      <c r="CP26">
        <f t="shared" si="41"/>
        <v>4.9331492113744192E-3</v>
      </c>
      <c r="CQ26">
        <f t="shared" si="42"/>
        <v>2.9970590313634988E-4</v>
      </c>
      <c r="CR26">
        <f t="shared" si="43"/>
        <v>2.3417398720769833E-4</v>
      </c>
      <c r="CS26">
        <f t="shared" si="44"/>
        <v>2.5357691890515221E-4</v>
      </c>
      <c r="CT26">
        <f t="shared" si="45"/>
        <v>5.2630203063567971E-5</v>
      </c>
    </row>
    <row r="27" spans="1:98" x14ac:dyDescent="0.25">
      <c r="A27" s="14"/>
      <c r="B27" s="11"/>
      <c r="C27" s="1" t="s">
        <v>24</v>
      </c>
      <c r="D27" s="1">
        <v>0</v>
      </c>
      <c r="E27" s="1">
        <v>4.9854036700000002</v>
      </c>
      <c r="F27" s="1">
        <v>0.24894642</v>
      </c>
      <c r="G27" s="1">
        <v>31.95077663</v>
      </c>
      <c r="H27" s="1">
        <v>0.38609086999999997</v>
      </c>
      <c r="I27" s="1">
        <v>4.9761694800000003</v>
      </c>
      <c r="J27" s="1">
        <v>2.0242557200000002</v>
      </c>
      <c r="K27" s="1">
        <v>69.370106079999999</v>
      </c>
      <c r="L27" s="1">
        <v>41.31203953</v>
      </c>
      <c r="M27" s="1">
        <v>12.240744360000001</v>
      </c>
      <c r="N27" s="1">
        <v>0.31524208999999997</v>
      </c>
      <c r="O27" s="1">
        <v>1.12798518</v>
      </c>
      <c r="P27" s="1">
        <v>2.84565644</v>
      </c>
      <c r="Q27" s="1">
        <v>0.49666434999999998</v>
      </c>
      <c r="R27" s="1">
        <v>7.7329435699999998</v>
      </c>
      <c r="S27" s="1">
        <v>163.89898216</v>
      </c>
      <c r="T27" s="1">
        <v>113.90126716</v>
      </c>
      <c r="U27" s="1">
        <v>0.14997933999999999</v>
      </c>
      <c r="V27" s="1">
        <v>5.4698700000000003E-2</v>
      </c>
      <c r="W27" s="1">
        <v>1.36897343</v>
      </c>
      <c r="X27" s="1">
        <v>224.48169247000001</v>
      </c>
      <c r="Y27" s="1">
        <v>9.4968360000000002E-2</v>
      </c>
      <c r="Z27" s="1">
        <v>30.14744907</v>
      </c>
      <c r="AA27" s="1">
        <v>26.326451939999998</v>
      </c>
      <c r="AB27" s="1">
        <v>250.15051077000001</v>
      </c>
      <c r="AC27" s="1">
        <v>1152.0038844400001</v>
      </c>
      <c r="AD27" s="1">
        <v>110.97824928</v>
      </c>
      <c r="AE27" s="1">
        <v>12.05359545</v>
      </c>
      <c r="AF27" s="1">
        <v>2.1073493000000001</v>
      </c>
      <c r="AG27" s="1">
        <v>0</v>
      </c>
      <c r="AH27" s="1">
        <v>576.37519656999996</v>
      </c>
      <c r="AI27" s="1">
        <v>778.78940871999998</v>
      </c>
      <c r="AJ27" s="1">
        <v>689.94418440000004</v>
      </c>
      <c r="AK27" s="1">
        <v>1705.1026881099999</v>
      </c>
      <c r="AL27" s="1">
        <v>0</v>
      </c>
      <c r="AM27" s="1">
        <v>93.528362790000003</v>
      </c>
      <c r="AN27" s="1">
        <v>15.293241330000001</v>
      </c>
      <c r="AO27" s="1">
        <v>182.59002705</v>
      </c>
      <c r="AP27" s="1">
        <v>2.0287601999999998</v>
      </c>
      <c r="AQ27" s="1">
        <v>0.35882886000000003</v>
      </c>
      <c r="AR27" s="1">
        <v>9.89727347</v>
      </c>
      <c r="AS27" s="1">
        <v>1.7086741299999999</v>
      </c>
      <c r="AT27" s="4">
        <v>1241.85530554</v>
      </c>
      <c r="AU27" s="1">
        <v>85.718029599999994</v>
      </c>
      <c r="AV27" s="1">
        <v>6974.9530667899999</v>
      </c>
      <c r="AW27" s="1">
        <v>3046.3048826200002</v>
      </c>
      <c r="AX27" s="1">
        <v>2601.0748490199999</v>
      </c>
      <c r="AY27" s="4">
        <v>18428.414946950001</v>
      </c>
      <c r="BB27" s="18"/>
      <c r="BC27">
        <f t="shared" si="1"/>
        <v>13298.300788680001</v>
      </c>
      <c r="BD27" s="1" t="s">
        <v>24</v>
      </c>
      <c r="BE27">
        <f t="shared" si="4"/>
        <v>0</v>
      </c>
      <c r="BF27">
        <f t="shared" si="5"/>
        <v>3.7489027727841422E-4</v>
      </c>
      <c r="BG27">
        <f t="shared" si="6"/>
        <v>1.8720167633139439E-5</v>
      </c>
      <c r="BH27">
        <f t="shared" si="7"/>
        <v>2.4026209917884897E-3</v>
      </c>
      <c r="BI27">
        <f t="shared" si="8"/>
        <v>2.9033097997652048E-5</v>
      </c>
      <c r="BJ27">
        <f t="shared" si="9"/>
        <v>3.7419588856313867E-4</v>
      </c>
      <c r="BK27">
        <f t="shared" si="10"/>
        <v>1.5221912574899199E-4</v>
      </c>
      <c r="BL27">
        <f t="shared" si="11"/>
        <v>5.2164639063548906E-3</v>
      </c>
      <c r="BM27">
        <f t="shared" si="12"/>
        <v>3.106565281270094E-3</v>
      </c>
      <c r="BN27">
        <f t="shared" si="13"/>
        <v>9.2047431882573817E-4</v>
      </c>
      <c r="BO27">
        <f t="shared" si="14"/>
        <v>2.3705441395064966E-5</v>
      </c>
      <c r="BP27">
        <f t="shared" si="15"/>
        <v>8.4821752637764239E-5</v>
      </c>
      <c r="BQ27">
        <f t="shared" si="16"/>
        <v>2.1398646979186445E-4</v>
      </c>
      <c r="BR27">
        <f t="shared" si="17"/>
        <v>3.7347955794681587E-5</v>
      </c>
      <c r="BS27">
        <f t="shared" si="18"/>
        <v>5.8149862098040106E-4</v>
      </c>
      <c r="BT27">
        <f t="shared" si="19"/>
        <v>1.2324806361690721E-2</v>
      </c>
      <c r="BU27">
        <f t="shared" si="20"/>
        <v>8.5650993288523686E-3</v>
      </c>
      <c r="BV27">
        <f t="shared" si="21"/>
        <v>1.1278082995962002E-5</v>
      </c>
      <c r="BW27">
        <f t="shared" si="22"/>
        <v>4.1132097152262896E-6</v>
      </c>
      <c r="BX27">
        <f t="shared" si="23"/>
        <v>1.02943485168069E-4</v>
      </c>
      <c r="BY27">
        <f t="shared" si="24"/>
        <v>1.6880479396366718E-2</v>
      </c>
      <c r="BZ27">
        <f t="shared" si="25"/>
        <v>7.1413905813320559E-6</v>
      </c>
      <c r="CA27">
        <f t="shared" si="26"/>
        <v>2.2670151284036686E-3</v>
      </c>
      <c r="CB27">
        <f t="shared" si="27"/>
        <v>1.9796854017928391E-3</v>
      </c>
      <c r="CC27">
        <f t="shared" si="28"/>
        <v>1.8810712341755517E-2</v>
      </c>
      <c r="CD27">
        <f t="shared" si="29"/>
        <v>8.6627901018799927E-2</v>
      </c>
      <c r="CE27">
        <f t="shared" si="30"/>
        <v>8.3452954662048811E-3</v>
      </c>
      <c r="CF27">
        <f t="shared" si="31"/>
        <v>9.0640117422072903E-4</v>
      </c>
      <c r="CG27">
        <f t="shared" si="32"/>
        <v>1.5846756164470673E-4</v>
      </c>
      <c r="CH27">
        <f t="shared" si="33"/>
        <v>0</v>
      </c>
      <c r="CI27">
        <f t="shared" si="34"/>
        <v>4.3342018332194109E-2</v>
      </c>
      <c r="CJ27">
        <f t="shared" si="35"/>
        <v>5.8563076673896111E-2</v>
      </c>
      <c r="CK27">
        <f t="shared" si="36"/>
        <v>5.1882131060481479E-2</v>
      </c>
      <c r="CL27">
        <f t="shared" si="37"/>
        <v>0.12821959099928357</v>
      </c>
      <c r="CM27">
        <f t="shared" si="38"/>
        <v>0</v>
      </c>
      <c r="CN27">
        <f t="shared" si="39"/>
        <v>7.0331062799853915E-3</v>
      </c>
      <c r="CO27">
        <f t="shared" si="40"/>
        <v>1.1500146953374801E-3</v>
      </c>
      <c r="CP27">
        <f t="shared" si="41"/>
        <v>1.3730327652494318E-2</v>
      </c>
      <c r="CQ27">
        <f t="shared" si="42"/>
        <v>1.5255785173147495E-4</v>
      </c>
      <c r="CR27">
        <f t="shared" si="43"/>
        <v>2.6983060896430336E-5</v>
      </c>
      <c r="CS27">
        <f t="shared" si="44"/>
        <v>7.4425098569171489E-4</v>
      </c>
      <c r="CT27">
        <f t="shared" si="45"/>
        <v>1.2848815477647233E-4</v>
      </c>
    </row>
    <row r="28" spans="1:98" x14ac:dyDescent="0.25">
      <c r="A28" s="14"/>
      <c r="B28" s="11"/>
      <c r="C28" s="1" t="s">
        <v>25</v>
      </c>
      <c r="D28" s="1">
        <v>0</v>
      </c>
      <c r="E28" s="1">
        <v>3.6865136000000001</v>
      </c>
      <c r="F28" s="1">
        <v>0.1393163</v>
      </c>
      <c r="G28" s="1">
        <v>94.218426710000003</v>
      </c>
      <c r="H28" s="1">
        <v>17.2609444</v>
      </c>
      <c r="I28" s="1">
        <v>8.7432631799999996</v>
      </c>
      <c r="J28" s="1">
        <v>6.6686983800000004</v>
      </c>
      <c r="K28" s="1">
        <v>152.2203595</v>
      </c>
      <c r="L28" s="1">
        <v>1523.9927806999999</v>
      </c>
      <c r="M28" s="1">
        <v>155.51167312999999</v>
      </c>
      <c r="N28" s="1">
        <v>0.50391830999999998</v>
      </c>
      <c r="O28" s="1">
        <v>8.1348480500000004</v>
      </c>
      <c r="P28" s="1">
        <v>53.45440859</v>
      </c>
      <c r="Q28" s="1">
        <v>6.6529157699999999</v>
      </c>
      <c r="R28" s="1">
        <v>1298.32805523</v>
      </c>
      <c r="S28" s="1">
        <v>137.50717935</v>
      </c>
      <c r="T28" s="1">
        <v>46.691301690000003</v>
      </c>
      <c r="U28" s="1">
        <v>0.90284383000000001</v>
      </c>
      <c r="V28" s="1">
        <v>1.24223415</v>
      </c>
      <c r="W28" s="1">
        <v>30.32772362</v>
      </c>
      <c r="X28" s="1">
        <v>163.78163620999999</v>
      </c>
      <c r="Y28" s="1">
        <v>174.79548009000001</v>
      </c>
      <c r="Z28" s="1">
        <v>11.063286659999999</v>
      </c>
      <c r="AA28" s="1">
        <v>18.028077320000001</v>
      </c>
      <c r="AB28" s="1">
        <v>586.83952485999998</v>
      </c>
      <c r="AC28" s="1">
        <v>2378.3150776799998</v>
      </c>
      <c r="AD28" s="1">
        <v>227.59750765000001</v>
      </c>
      <c r="AE28" s="1">
        <v>12.68828706</v>
      </c>
      <c r="AF28" s="1">
        <v>3.8141094299999998</v>
      </c>
      <c r="AG28" s="1">
        <v>0</v>
      </c>
      <c r="AH28" s="1">
        <v>448.94009057</v>
      </c>
      <c r="AI28" s="1">
        <v>1124.8199517200001</v>
      </c>
      <c r="AJ28" s="1">
        <v>49.354493099999999</v>
      </c>
      <c r="AK28" s="1">
        <v>401.24658054000002</v>
      </c>
      <c r="AL28" s="1">
        <v>0</v>
      </c>
      <c r="AM28" s="1">
        <v>35.292783190000002</v>
      </c>
      <c r="AN28" s="1">
        <v>19.8180364</v>
      </c>
      <c r="AO28" s="1">
        <v>553.25007884000001</v>
      </c>
      <c r="AP28" s="1">
        <v>6.5153924600000002</v>
      </c>
      <c r="AQ28" s="1">
        <v>4.4850869400000004</v>
      </c>
      <c r="AR28" s="1">
        <v>17.590196219999999</v>
      </c>
      <c r="AS28" s="1">
        <v>2.7289852899999998</v>
      </c>
      <c r="AT28" s="4">
        <v>429.6376879</v>
      </c>
      <c r="AU28" s="1">
        <v>41.896685929999997</v>
      </c>
      <c r="AV28" s="1">
        <v>3499.5121782299998</v>
      </c>
      <c r="AW28" s="1">
        <v>1521.97278742</v>
      </c>
      <c r="AX28" s="1">
        <v>1506.0050169799999</v>
      </c>
      <c r="AY28" s="4">
        <v>15884.20918168</v>
      </c>
      <c r="BB28" s="18"/>
      <c r="BC28">
        <f t="shared" si="1"/>
        <v>13286.664244949998</v>
      </c>
      <c r="BD28" s="1" t="s">
        <v>25</v>
      </c>
      <c r="BE28">
        <f t="shared" si="4"/>
        <v>0</v>
      </c>
      <c r="BF28">
        <f t="shared" si="5"/>
        <v>2.7745967927210712E-4</v>
      </c>
      <c r="BG28">
        <f t="shared" si="6"/>
        <v>1.0485423386306417E-5</v>
      </c>
      <c r="BH28">
        <f t="shared" si="7"/>
        <v>7.0912024999661288E-3</v>
      </c>
      <c r="BI28">
        <f t="shared" si="8"/>
        <v>1.2991179788832661E-3</v>
      </c>
      <c r="BJ28">
        <f t="shared" si="9"/>
        <v>6.5804802611183193E-4</v>
      </c>
      <c r="BK28">
        <f t="shared" si="10"/>
        <v>5.0190915169205414E-4</v>
      </c>
      <c r="BL28">
        <f t="shared" si="11"/>
        <v>1.1456627238688295E-2</v>
      </c>
      <c r="BM28">
        <f t="shared" si="12"/>
        <v>0.11470093264976119</v>
      </c>
      <c r="BN28">
        <f t="shared" si="13"/>
        <v>1.1704342810431666E-2</v>
      </c>
      <c r="BO28">
        <f t="shared" si="14"/>
        <v>3.792662332018584E-5</v>
      </c>
      <c r="BP28">
        <f t="shared" si="15"/>
        <v>6.1225661309925088E-4</v>
      </c>
      <c r="BQ28">
        <f t="shared" si="16"/>
        <v>4.0231624435243018E-3</v>
      </c>
      <c r="BR28">
        <f t="shared" si="17"/>
        <v>5.0072129823922084E-4</v>
      </c>
      <c r="BS28">
        <f t="shared" si="18"/>
        <v>9.7716630095734461E-2</v>
      </c>
      <c r="BT28">
        <f t="shared" si="19"/>
        <v>1.0349262750600762E-2</v>
      </c>
      <c r="BU28">
        <f t="shared" si="20"/>
        <v>3.5141477822581736E-3</v>
      </c>
      <c r="BV28">
        <f t="shared" si="21"/>
        <v>6.7951128541774759E-5</v>
      </c>
      <c r="BW28">
        <f t="shared" si="22"/>
        <v>9.3494810066578523E-5</v>
      </c>
      <c r="BX28">
        <f t="shared" si="23"/>
        <v>2.2825686764476627E-3</v>
      </c>
      <c r="BY28">
        <f t="shared" si="24"/>
        <v>1.2326768644902741E-2</v>
      </c>
      <c r="BZ28">
        <f t="shared" si="25"/>
        <v>1.3155708375519187E-2</v>
      </c>
      <c r="CA28">
        <f t="shared" si="26"/>
        <v>8.3266096410955363E-4</v>
      </c>
      <c r="CB28">
        <f t="shared" si="27"/>
        <v>1.3568550380771548E-3</v>
      </c>
      <c r="CC28">
        <f t="shared" si="28"/>
        <v>4.4167558842547423E-2</v>
      </c>
      <c r="CD28">
        <f t="shared" si="29"/>
        <v>0.17900016391126547</v>
      </c>
      <c r="CE28">
        <f t="shared" si="30"/>
        <v>1.7129770381343487E-2</v>
      </c>
      <c r="CF28">
        <f t="shared" si="31"/>
        <v>9.5496407721919901E-4</v>
      </c>
      <c r="CG28">
        <f t="shared" si="32"/>
        <v>2.8706297981825413E-4</v>
      </c>
      <c r="CH28">
        <f t="shared" si="33"/>
        <v>0</v>
      </c>
      <c r="CI28">
        <f t="shared" si="34"/>
        <v>3.3788773637493955E-2</v>
      </c>
      <c r="CJ28">
        <f t="shared" si="35"/>
        <v>8.4657814104659279E-2</v>
      </c>
      <c r="CK28">
        <f t="shared" si="36"/>
        <v>3.7145887176880141E-3</v>
      </c>
      <c r="CL28">
        <f t="shared" si="37"/>
        <v>3.0199196212285263E-2</v>
      </c>
      <c r="CM28">
        <f t="shared" si="38"/>
        <v>0</v>
      </c>
      <c r="CN28">
        <f t="shared" si="39"/>
        <v>2.6562561181158848E-3</v>
      </c>
      <c r="CO28">
        <f t="shared" si="40"/>
        <v>1.4915735081913017E-3</v>
      </c>
      <c r="CP28">
        <f t="shared" si="41"/>
        <v>4.1639501731992636E-2</v>
      </c>
      <c r="CQ28">
        <f t="shared" si="42"/>
        <v>4.9037082144048113E-4</v>
      </c>
      <c r="CR28">
        <f t="shared" si="43"/>
        <v>3.3756305249488749E-4</v>
      </c>
      <c r="CS28">
        <f t="shared" si="44"/>
        <v>1.3238986020652768E-3</v>
      </c>
      <c r="CT28">
        <f t="shared" si="45"/>
        <v>2.0539280888634136E-4</v>
      </c>
    </row>
    <row r="29" spans="1:98" x14ac:dyDescent="0.25">
      <c r="A29" s="14"/>
      <c r="B29" s="11"/>
      <c r="C29" s="1" t="s">
        <v>26</v>
      </c>
      <c r="D29" s="1">
        <v>0</v>
      </c>
      <c r="E29" s="1">
        <v>6.5241735500000004</v>
      </c>
      <c r="F29" s="1">
        <v>3.576973E-2</v>
      </c>
      <c r="G29" s="1">
        <v>1666.0934572900001</v>
      </c>
      <c r="H29" s="1">
        <v>29.67346306</v>
      </c>
      <c r="I29" s="1">
        <v>24.42911174</v>
      </c>
      <c r="J29" s="1">
        <v>6.5284826000000002</v>
      </c>
      <c r="K29" s="1">
        <v>31.68923118</v>
      </c>
      <c r="L29" s="1">
        <v>10.79688642</v>
      </c>
      <c r="M29" s="1">
        <v>72.155190869999998</v>
      </c>
      <c r="N29" s="1">
        <v>5.5166159999999999E-2</v>
      </c>
      <c r="O29" s="1">
        <v>14.49355765</v>
      </c>
      <c r="P29" s="1">
        <v>9.5052709899999996</v>
      </c>
      <c r="Q29" s="1">
        <v>1.78433843</v>
      </c>
      <c r="R29" s="1">
        <v>2.98771349</v>
      </c>
      <c r="S29" s="1">
        <v>2.7434134700000001</v>
      </c>
      <c r="T29" s="1">
        <v>8.6189489199999993</v>
      </c>
      <c r="U29" s="1">
        <v>6.0315979999999998E-2</v>
      </c>
      <c r="V29" s="1">
        <v>1.52465429</v>
      </c>
      <c r="W29" s="1">
        <v>8.7506994799999998</v>
      </c>
      <c r="X29" s="1">
        <v>92.526013640000002</v>
      </c>
      <c r="Y29" s="1">
        <v>46.16165093</v>
      </c>
      <c r="Z29" s="1">
        <v>10.958021390000001</v>
      </c>
      <c r="AA29" s="1">
        <v>12.191972959999999</v>
      </c>
      <c r="AB29" s="1">
        <v>342.21179840000002</v>
      </c>
      <c r="AC29" s="1">
        <v>175.06101228</v>
      </c>
      <c r="AD29" s="1">
        <v>29.185477540000001</v>
      </c>
      <c r="AE29" s="1">
        <v>1026.5325668600001</v>
      </c>
      <c r="AF29" s="1">
        <v>4.71067649</v>
      </c>
      <c r="AG29" s="1">
        <v>0</v>
      </c>
      <c r="AH29" s="1">
        <v>51.483550919999999</v>
      </c>
      <c r="AI29" s="1">
        <v>58.267614770000002</v>
      </c>
      <c r="AJ29" s="1">
        <v>95.497881129999996</v>
      </c>
      <c r="AK29" s="1">
        <v>145.36678556000001</v>
      </c>
      <c r="AL29" s="1">
        <v>0</v>
      </c>
      <c r="AM29" s="1">
        <v>15.94558763</v>
      </c>
      <c r="AN29" s="1">
        <v>4.8766062100000003</v>
      </c>
      <c r="AO29" s="1">
        <v>82.084961120000003</v>
      </c>
      <c r="AP29" s="1">
        <v>3.1914355400000001</v>
      </c>
      <c r="AQ29" s="1">
        <v>0.13508543000000001</v>
      </c>
      <c r="AR29" s="1">
        <v>5.2469551000000001</v>
      </c>
      <c r="AS29" s="1">
        <v>1.19804793</v>
      </c>
      <c r="AT29" s="4">
        <v>0</v>
      </c>
      <c r="AU29" s="1">
        <v>0</v>
      </c>
      <c r="AV29" s="1">
        <v>3658.7648973999999</v>
      </c>
      <c r="AW29" s="1">
        <v>3610.4646766800001</v>
      </c>
      <c r="AX29" s="1">
        <v>48.300220719999999</v>
      </c>
      <c r="AY29" s="4">
        <v>6490.9415726099996</v>
      </c>
      <c r="BB29" s="18"/>
      <c r="BC29">
        <f t="shared" si="1"/>
        <v>7760.0484445300008</v>
      </c>
      <c r="BD29" s="1" t="s">
        <v>26</v>
      </c>
      <c r="BE29">
        <f t="shared" si="4"/>
        <v>0</v>
      </c>
      <c r="BF29">
        <f t="shared" si="5"/>
        <v>8.4073876556773827E-4</v>
      </c>
      <c r="BG29">
        <f t="shared" si="6"/>
        <v>4.6094725124060031E-6</v>
      </c>
      <c r="BH29">
        <f t="shared" si="7"/>
        <v>0.21470142476551377</v>
      </c>
      <c r="BI29">
        <f t="shared" si="8"/>
        <v>3.8238760069747501E-3</v>
      </c>
      <c r="BJ29">
        <f t="shared" si="9"/>
        <v>3.1480617569107955E-3</v>
      </c>
      <c r="BK29">
        <f t="shared" si="10"/>
        <v>8.4129405204962061E-4</v>
      </c>
      <c r="BL29">
        <f t="shared" si="11"/>
        <v>4.0836383183068268E-3</v>
      </c>
      <c r="BM29">
        <f t="shared" si="12"/>
        <v>1.3913426568374896E-3</v>
      </c>
      <c r="BN29">
        <f t="shared" si="13"/>
        <v>9.2982912910629621E-3</v>
      </c>
      <c r="BO29">
        <f t="shared" si="14"/>
        <v>7.1089968566995489E-6</v>
      </c>
      <c r="BP29">
        <f t="shared" si="15"/>
        <v>1.8677148414216922E-3</v>
      </c>
      <c r="BQ29">
        <f t="shared" si="16"/>
        <v>1.2248984085531313E-3</v>
      </c>
      <c r="BR29">
        <f t="shared" si="17"/>
        <v>2.299390838542724E-4</v>
      </c>
      <c r="BS29">
        <f t="shared" si="18"/>
        <v>3.8501222142575881E-4</v>
      </c>
      <c r="BT29">
        <f t="shared" si="19"/>
        <v>3.5353045662154484E-4</v>
      </c>
      <c r="BU29">
        <f t="shared" si="20"/>
        <v>1.1106823599890579E-3</v>
      </c>
      <c r="BV29">
        <f t="shared" si="21"/>
        <v>7.7726293116786242E-6</v>
      </c>
      <c r="BW29">
        <f t="shared" si="22"/>
        <v>1.9647484173564885E-4</v>
      </c>
      <c r="BX29">
        <f t="shared" si="23"/>
        <v>1.1276604189460057E-3</v>
      </c>
      <c r="BY29">
        <f t="shared" si="24"/>
        <v>1.192338093007923E-2</v>
      </c>
      <c r="BZ29">
        <f t="shared" si="25"/>
        <v>5.948629220548101E-3</v>
      </c>
      <c r="CA29">
        <f t="shared" si="26"/>
        <v>1.4121073429282812E-3</v>
      </c>
      <c r="CB29">
        <f t="shared" si="27"/>
        <v>1.5711207278086038E-3</v>
      </c>
      <c r="CC29">
        <f t="shared" si="28"/>
        <v>4.4099183252035302E-2</v>
      </c>
      <c r="CD29">
        <f t="shared" si="29"/>
        <v>2.2559267964802357E-2</v>
      </c>
      <c r="CE29">
        <f t="shared" si="30"/>
        <v>3.7609916675935989E-3</v>
      </c>
      <c r="CF29">
        <f t="shared" si="31"/>
        <v>0.13228429876408762</v>
      </c>
      <c r="CG29">
        <f t="shared" si="32"/>
        <v>6.0704214975880987E-4</v>
      </c>
      <c r="CH29">
        <f t="shared" si="33"/>
        <v>0</v>
      </c>
      <c r="CI29">
        <f t="shared" si="34"/>
        <v>6.6344367935344999E-3</v>
      </c>
      <c r="CJ29">
        <f t="shared" si="35"/>
        <v>7.5086663680653185E-3</v>
      </c>
      <c r="CK29">
        <f t="shared" si="36"/>
        <v>1.2306351153943598E-2</v>
      </c>
      <c r="CL29">
        <f t="shared" si="37"/>
        <v>1.873271624515024E-2</v>
      </c>
      <c r="CM29">
        <f t="shared" si="38"/>
        <v>0</v>
      </c>
      <c r="CN29">
        <f t="shared" si="39"/>
        <v>2.0548309387475442E-3</v>
      </c>
      <c r="CO29">
        <f t="shared" si="40"/>
        <v>6.2842471214693033E-4</v>
      </c>
      <c r="CP29">
        <f t="shared" si="41"/>
        <v>1.05778928709989E-2</v>
      </c>
      <c r="CQ29">
        <f t="shared" si="42"/>
        <v>4.1126489902902847E-4</v>
      </c>
      <c r="CR29">
        <f t="shared" si="43"/>
        <v>1.7407807562750552E-5</v>
      </c>
      <c r="CS29">
        <f t="shared" si="44"/>
        <v>6.7614978662904339E-4</v>
      </c>
      <c r="CT29">
        <f t="shared" si="45"/>
        <v>1.5438665603234667E-4</v>
      </c>
    </row>
    <row r="30" spans="1:98" x14ac:dyDescent="0.25">
      <c r="A30" s="14"/>
      <c r="B30" s="11"/>
      <c r="C30" s="1" t="s">
        <v>27</v>
      </c>
      <c r="D30" s="1">
        <v>0</v>
      </c>
      <c r="E30" s="1">
        <v>8.4408124499999992</v>
      </c>
      <c r="F30" s="1">
        <v>3.9446368199999999</v>
      </c>
      <c r="G30" s="1">
        <v>1580.9091845200001</v>
      </c>
      <c r="H30" s="1">
        <v>0.20974314999999999</v>
      </c>
      <c r="I30" s="1">
        <v>1.73851614</v>
      </c>
      <c r="J30" s="1">
        <v>12.120744780000001</v>
      </c>
      <c r="K30" s="1">
        <v>12.73750645</v>
      </c>
      <c r="L30" s="1">
        <v>104.36260806999999</v>
      </c>
      <c r="M30" s="1">
        <v>1006.79378525</v>
      </c>
      <c r="N30" s="1">
        <v>14.27028413</v>
      </c>
      <c r="O30" s="1">
        <v>16.95709948</v>
      </c>
      <c r="P30" s="1">
        <v>6.85881162</v>
      </c>
      <c r="Q30" s="1">
        <v>56.317617380000002</v>
      </c>
      <c r="R30" s="1">
        <v>23.574876549999999</v>
      </c>
      <c r="S30" s="1">
        <v>7.4290843100000004</v>
      </c>
      <c r="T30" s="1">
        <v>2.2731495000000002</v>
      </c>
      <c r="U30" s="1">
        <v>0.33074135999999998</v>
      </c>
      <c r="V30" s="1">
        <v>0.43883281000000002</v>
      </c>
      <c r="W30" s="1">
        <v>14.31356018</v>
      </c>
      <c r="X30" s="1">
        <v>252.61916331</v>
      </c>
      <c r="Y30" s="1">
        <v>1.6268987699999999</v>
      </c>
      <c r="Z30" s="1">
        <v>21.402552849999999</v>
      </c>
      <c r="AA30" s="1">
        <v>5.1585307599999997</v>
      </c>
      <c r="AB30" s="1">
        <v>362.02867569</v>
      </c>
      <c r="AC30" s="1">
        <v>261.29290281999999</v>
      </c>
      <c r="AD30" s="1">
        <v>8.0342916399999993</v>
      </c>
      <c r="AE30" s="1">
        <v>2130.5145232300001</v>
      </c>
      <c r="AF30" s="1">
        <v>7.4091198800000004</v>
      </c>
      <c r="AG30" s="1">
        <v>0</v>
      </c>
      <c r="AH30" s="1">
        <v>3.05786303</v>
      </c>
      <c r="AI30" s="1">
        <v>205.36603055</v>
      </c>
      <c r="AJ30" s="1">
        <v>0.33232445999999999</v>
      </c>
      <c r="AK30" s="1">
        <v>71.426225000000002</v>
      </c>
      <c r="AL30" s="1">
        <v>0</v>
      </c>
      <c r="AM30" s="1">
        <v>46.962240090000002</v>
      </c>
      <c r="AN30" s="1">
        <v>29.448512749999999</v>
      </c>
      <c r="AO30" s="1">
        <v>8.8006558100000003</v>
      </c>
      <c r="AP30" s="1">
        <v>3.8981146999999998</v>
      </c>
      <c r="AQ30" s="1">
        <v>1.31230834</v>
      </c>
      <c r="AR30" s="1">
        <v>1.28331141</v>
      </c>
      <c r="AS30" s="1">
        <v>3.3320810600000002</v>
      </c>
      <c r="AT30" s="4">
        <v>641.69855543999995</v>
      </c>
      <c r="AU30" s="1">
        <v>387.49236031999999</v>
      </c>
      <c r="AV30" s="1">
        <v>6549.0983571400002</v>
      </c>
      <c r="AW30" s="1">
        <v>5169.5806147100002</v>
      </c>
      <c r="AX30" s="1">
        <v>350.32682667</v>
      </c>
      <c r="AY30" s="4">
        <v>15978.103366720001</v>
      </c>
      <c r="BB30" s="18"/>
      <c r="BC30">
        <f t="shared" si="1"/>
        <v>12848.42627824</v>
      </c>
      <c r="BD30" s="1" t="s">
        <v>27</v>
      </c>
      <c r="BE30">
        <f t="shared" si="4"/>
        <v>0</v>
      </c>
      <c r="BF30">
        <f t="shared" si="5"/>
        <v>6.5695302033178156E-4</v>
      </c>
      <c r="BG30">
        <f t="shared" si="6"/>
        <v>3.0701322750169085E-4</v>
      </c>
      <c r="BH30">
        <f t="shared" si="7"/>
        <v>0.12304302101164064</v>
      </c>
      <c r="BI30">
        <f t="shared" si="8"/>
        <v>1.6324423354105199E-5</v>
      </c>
      <c r="BJ30">
        <f t="shared" si="9"/>
        <v>1.3530965601167344E-4</v>
      </c>
      <c r="BK30">
        <f t="shared" si="10"/>
        <v>9.4336415351719801E-4</v>
      </c>
      <c r="BL30">
        <f t="shared" si="11"/>
        <v>9.9136704948621975E-4</v>
      </c>
      <c r="BM30">
        <f t="shared" si="12"/>
        <v>8.12259850428124E-3</v>
      </c>
      <c r="BN30">
        <f t="shared" si="13"/>
        <v>7.8359307470604281E-2</v>
      </c>
      <c r="BO30">
        <f t="shared" si="14"/>
        <v>1.1106639693429263E-3</v>
      </c>
      <c r="BP30">
        <f t="shared" si="15"/>
        <v>1.3197802682433115E-3</v>
      </c>
      <c r="BQ30">
        <f t="shared" si="16"/>
        <v>5.3382503595915344E-4</v>
      </c>
      <c r="BR30">
        <f t="shared" si="17"/>
        <v>4.3832307677539543E-3</v>
      </c>
      <c r="BS30">
        <f t="shared" si="18"/>
        <v>1.8348454541803486E-3</v>
      </c>
      <c r="BT30">
        <f t="shared" si="19"/>
        <v>5.782096693492994E-4</v>
      </c>
      <c r="BU30">
        <f t="shared" si="20"/>
        <v>1.7692046097892857E-4</v>
      </c>
      <c r="BV30">
        <f t="shared" si="21"/>
        <v>2.5741779797588216E-5</v>
      </c>
      <c r="BW30">
        <f t="shared" si="22"/>
        <v>3.4154596095803887E-5</v>
      </c>
      <c r="BX30">
        <f t="shared" si="23"/>
        <v>1.1140321678337634E-3</v>
      </c>
      <c r="BY30">
        <f t="shared" si="24"/>
        <v>1.9661486771950738E-2</v>
      </c>
      <c r="BZ30">
        <f t="shared" si="25"/>
        <v>1.2662241544361769E-4</v>
      </c>
      <c r="CA30">
        <f t="shared" si="26"/>
        <v>1.6657723200114557E-3</v>
      </c>
      <c r="CB30">
        <f t="shared" si="27"/>
        <v>4.0149125256969793E-4</v>
      </c>
      <c r="CC30">
        <f t="shared" si="28"/>
        <v>2.8176888581532285E-2</v>
      </c>
      <c r="CD30">
        <f t="shared" si="29"/>
        <v>2.0336568631951737E-2</v>
      </c>
      <c r="CE30">
        <f t="shared" si="30"/>
        <v>6.2531328475665668E-4</v>
      </c>
      <c r="CF30">
        <f t="shared" si="31"/>
        <v>0.16581910321875168</v>
      </c>
      <c r="CG30">
        <f t="shared" si="32"/>
        <v>5.7665582691228347E-4</v>
      </c>
      <c r="CH30">
        <f t="shared" si="33"/>
        <v>0</v>
      </c>
      <c r="CI30">
        <f t="shared" si="34"/>
        <v>2.3799514148894438E-4</v>
      </c>
      <c r="CJ30">
        <f t="shared" si="35"/>
        <v>1.5983749768468253E-2</v>
      </c>
      <c r="CK30">
        <f t="shared" si="36"/>
        <v>2.5864993330959311E-5</v>
      </c>
      <c r="CL30">
        <f t="shared" si="37"/>
        <v>5.5591419099292284E-3</v>
      </c>
      <c r="CM30">
        <f t="shared" si="38"/>
        <v>0</v>
      </c>
      <c r="CN30">
        <f t="shared" si="39"/>
        <v>3.6550966688842588E-3</v>
      </c>
      <c r="CO30">
        <f t="shared" si="40"/>
        <v>2.2919937517852894E-3</v>
      </c>
      <c r="CP30">
        <f t="shared" si="41"/>
        <v>6.8495982460550255E-4</v>
      </c>
      <c r="CQ30">
        <f t="shared" si="42"/>
        <v>3.0339238561860436E-4</v>
      </c>
      <c r="CR30">
        <f t="shared" si="43"/>
        <v>1.0213767130551355E-4</v>
      </c>
      <c r="CS30">
        <f t="shared" si="44"/>
        <v>9.988082448458351E-5</v>
      </c>
      <c r="CT30">
        <f t="shared" si="45"/>
        <v>2.5933767979376495E-4</v>
      </c>
    </row>
    <row r="31" spans="1:98" x14ac:dyDescent="0.25">
      <c r="A31" s="14"/>
      <c r="B31" s="11"/>
      <c r="C31" s="1" t="s">
        <v>28</v>
      </c>
      <c r="D31" s="1">
        <v>0</v>
      </c>
      <c r="E31" s="1">
        <v>4.7585675800000002</v>
      </c>
      <c r="F31" s="1">
        <v>37.4039231</v>
      </c>
      <c r="G31" s="1">
        <v>6.4877846300000002</v>
      </c>
      <c r="H31" s="1">
        <v>0.49814361000000001</v>
      </c>
      <c r="I31" s="1">
        <v>6.5366073900000004</v>
      </c>
      <c r="J31" s="1">
        <v>53.747396569999999</v>
      </c>
      <c r="K31" s="1">
        <v>4.2296153800000003</v>
      </c>
      <c r="L31" s="1">
        <v>13.7114563</v>
      </c>
      <c r="M31" s="1">
        <v>42.749916480000003</v>
      </c>
      <c r="N31" s="1">
        <v>80.895308380000003</v>
      </c>
      <c r="O31" s="1">
        <v>88.154373609999993</v>
      </c>
      <c r="P31" s="1">
        <v>32.206555680000001</v>
      </c>
      <c r="Q31" s="1">
        <v>59.311069240000002</v>
      </c>
      <c r="R31" s="1">
        <v>1.7217974899999999</v>
      </c>
      <c r="S31" s="1">
        <v>8.2620516100000003</v>
      </c>
      <c r="T31" s="1">
        <v>1.2393832499999999</v>
      </c>
      <c r="U31" s="1">
        <v>1.3489544200000001</v>
      </c>
      <c r="V31" s="1">
        <v>1.41809199</v>
      </c>
      <c r="W31" s="1">
        <v>6.3232491199999998</v>
      </c>
      <c r="X31" s="1">
        <v>124.88985921</v>
      </c>
      <c r="Y31" s="1">
        <v>0.54904776</v>
      </c>
      <c r="Z31" s="1">
        <v>4.9122045600000002</v>
      </c>
      <c r="AA31" s="1">
        <v>9.9403742099999999</v>
      </c>
      <c r="AB31" s="1">
        <v>60.020023369999997</v>
      </c>
      <c r="AC31" s="1">
        <v>118.16454767</v>
      </c>
      <c r="AD31" s="1">
        <v>2.4716211700000001</v>
      </c>
      <c r="AE31" s="1">
        <v>2.4783377400000002</v>
      </c>
      <c r="AF31" s="1">
        <v>598.45187596000005</v>
      </c>
      <c r="AG31" s="1">
        <v>1.6686053300000001</v>
      </c>
      <c r="AH31" s="1">
        <v>1.3240208899999999</v>
      </c>
      <c r="AI31" s="1">
        <v>108.06296924999999</v>
      </c>
      <c r="AJ31" s="1">
        <v>0.76410096000000005</v>
      </c>
      <c r="AK31" s="1">
        <v>71.317225489999998</v>
      </c>
      <c r="AL31" s="1">
        <v>0</v>
      </c>
      <c r="AM31" s="1">
        <v>33.528965339999999</v>
      </c>
      <c r="AN31" s="1">
        <v>6.9555126600000001</v>
      </c>
      <c r="AO31" s="1">
        <v>8.7565863200000003</v>
      </c>
      <c r="AP31" s="1">
        <v>0.74340183000000004</v>
      </c>
      <c r="AQ31" s="1">
        <v>3.0863360399999999</v>
      </c>
      <c r="AR31" s="1">
        <v>0.75049208999999995</v>
      </c>
      <c r="AS31" s="1">
        <v>0.55767361999999998</v>
      </c>
      <c r="AT31" s="4">
        <v>0</v>
      </c>
      <c r="AU31" s="1">
        <v>76.792144429999993</v>
      </c>
      <c r="AV31" s="1">
        <v>87.260555240000002</v>
      </c>
      <c r="AW31" s="1">
        <v>4.7464835000000001</v>
      </c>
      <c r="AX31" s="1">
        <v>5.7219273099999999</v>
      </c>
      <c r="AY31" s="4">
        <v>3705.5969419899998</v>
      </c>
      <c r="BB31" s="18"/>
      <c r="BC31">
        <f t="shared" si="1"/>
        <v>1697.6585825400002</v>
      </c>
      <c r="BD31" s="1" t="s">
        <v>28</v>
      </c>
      <c r="BE31">
        <f t="shared" si="4"/>
        <v>0</v>
      </c>
      <c r="BF31">
        <f t="shared" si="5"/>
        <v>2.8030180090041039E-3</v>
      </c>
      <c r="BG31">
        <f t="shared" si="6"/>
        <v>2.2032653376061667E-2</v>
      </c>
      <c r="BH31">
        <f t="shared" si="7"/>
        <v>3.8216074166650851E-3</v>
      </c>
      <c r="BI31">
        <f t="shared" si="8"/>
        <v>2.9342979508558678E-4</v>
      </c>
      <c r="BJ31">
        <f t="shared" si="9"/>
        <v>3.8503662969853864E-3</v>
      </c>
      <c r="BK31">
        <f t="shared" si="10"/>
        <v>3.1659720701664465E-2</v>
      </c>
      <c r="BL31">
        <f t="shared" si="11"/>
        <v>2.4914405190186949E-3</v>
      </c>
      <c r="BM31">
        <f t="shared" si="12"/>
        <v>8.0766865852880815E-3</v>
      </c>
      <c r="BN31">
        <f t="shared" si="13"/>
        <v>2.5181692549769635E-2</v>
      </c>
      <c r="BO31">
        <f t="shared" si="14"/>
        <v>4.7651105594486605E-2</v>
      </c>
      <c r="BP31">
        <f t="shared" si="15"/>
        <v>5.1927033218955788E-2</v>
      </c>
      <c r="BQ31">
        <f t="shared" si="16"/>
        <v>1.897116181736215E-2</v>
      </c>
      <c r="BR31">
        <f t="shared" si="17"/>
        <v>3.4936983118985007E-2</v>
      </c>
      <c r="BS31">
        <f t="shared" si="18"/>
        <v>1.0142189411394391E-3</v>
      </c>
      <c r="BT31">
        <f t="shared" si="19"/>
        <v>4.8667333319980608E-3</v>
      </c>
      <c r="BU31">
        <f t="shared" si="20"/>
        <v>7.3005447782419324E-4</v>
      </c>
      <c r="BV31">
        <f t="shared" si="21"/>
        <v>7.9459700193764728E-4</v>
      </c>
      <c r="BW31">
        <f t="shared" si="22"/>
        <v>8.3532225182656058E-4</v>
      </c>
      <c r="BX31">
        <f t="shared" si="23"/>
        <v>3.7246883354716061E-3</v>
      </c>
      <c r="BY31">
        <f t="shared" si="24"/>
        <v>7.3565945764632185E-2</v>
      </c>
      <c r="BZ31">
        <f t="shared" si="25"/>
        <v>3.2341471108903803E-4</v>
      </c>
      <c r="CA31">
        <f t="shared" si="26"/>
        <v>2.8935173482588388E-3</v>
      </c>
      <c r="CB31">
        <f t="shared" si="27"/>
        <v>5.8553435374075194E-3</v>
      </c>
      <c r="CC31">
        <f t="shared" si="28"/>
        <v>3.535459013213324E-2</v>
      </c>
      <c r="CD31">
        <f t="shared" si="29"/>
        <v>6.9604423931462558E-2</v>
      </c>
      <c r="CE31">
        <f t="shared" si="30"/>
        <v>1.4559000233733768E-3</v>
      </c>
      <c r="CF31">
        <f t="shared" si="31"/>
        <v>1.4598563960322131E-3</v>
      </c>
      <c r="CG31">
        <f t="shared" si="32"/>
        <v>0.3525160371554858</v>
      </c>
      <c r="CH31">
        <f t="shared" si="33"/>
        <v>9.8288628064629384E-4</v>
      </c>
      <c r="CI31">
        <f t="shared" si="34"/>
        <v>7.7990999110022952E-4</v>
      </c>
      <c r="CJ31">
        <f t="shared" si="35"/>
        <v>6.3654123603768736E-2</v>
      </c>
      <c r="CK31">
        <f t="shared" si="36"/>
        <v>4.5009106534057552E-4</v>
      </c>
      <c r="CL31">
        <f t="shared" si="37"/>
        <v>4.2009168523918811E-2</v>
      </c>
      <c r="CM31">
        <f t="shared" si="38"/>
        <v>0</v>
      </c>
      <c r="CN31">
        <f t="shared" si="39"/>
        <v>1.9750122718924252E-2</v>
      </c>
      <c r="CO31">
        <f t="shared" si="40"/>
        <v>4.0971210180514106E-3</v>
      </c>
      <c r="CP31">
        <f t="shared" si="41"/>
        <v>5.1580373168429337E-3</v>
      </c>
      <c r="CQ31">
        <f t="shared" si="42"/>
        <v>4.3789831338627476E-4</v>
      </c>
      <c r="CR31">
        <f t="shared" si="43"/>
        <v>1.8179957217206127E-3</v>
      </c>
      <c r="CS31">
        <f t="shared" si="44"/>
        <v>4.4207480686554176E-4</v>
      </c>
      <c r="CT31">
        <f t="shared" si="45"/>
        <v>3.2849574451278697E-4</v>
      </c>
    </row>
    <row r="32" spans="1:98" x14ac:dyDescent="0.25">
      <c r="A32" s="14"/>
      <c r="B32" s="11"/>
      <c r="C32" s="1" t="s">
        <v>29</v>
      </c>
      <c r="D32" s="1">
        <v>0</v>
      </c>
      <c r="E32" s="1">
        <v>0.41229367</v>
      </c>
      <c r="F32" s="1">
        <v>171.23642964999999</v>
      </c>
      <c r="G32" s="1">
        <v>2.1433219499999998</v>
      </c>
      <c r="H32" s="1">
        <v>0.10591505</v>
      </c>
      <c r="I32" s="1">
        <v>1.8426394500000001</v>
      </c>
      <c r="J32" s="1">
        <v>0.11471386</v>
      </c>
      <c r="K32" s="1">
        <v>1.33202142</v>
      </c>
      <c r="L32" s="1">
        <v>1.4442938000000001</v>
      </c>
      <c r="M32" s="1">
        <v>9.2396003400000009</v>
      </c>
      <c r="N32" s="1">
        <v>1.74555708</v>
      </c>
      <c r="O32" s="1">
        <v>1.84598558</v>
      </c>
      <c r="P32" s="1">
        <v>0.92925199000000003</v>
      </c>
      <c r="Q32" s="1">
        <v>14.935797239999999</v>
      </c>
      <c r="R32" s="1">
        <v>0.62013841999999997</v>
      </c>
      <c r="S32" s="1">
        <v>1.07026154</v>
      </c>
      <c r="T32" s="1">
        <v>0.20714829000000001</v>
      </c>
      <c r="U32" s="1">
        <v>1.8195184900000001</v>
      </c>
      <c r="V32" s="1">
        <v>0.54143545999999998</v>
      </c>
      <c r="W32" s="1">
        <v>0.68669690999999999</v>
      </c>
      <c r="X32" s="1">
        <v>30.908612170000001</v>
      </c>
      <c r="Y32" s="1">
        <v>0.55902940000000001</v>
      </c>
      <c r="Z32" s="1">
        <v>1.30114913</v>
      </c>
      <c r="AA32" s="1">
        <v>2.8968071599999998</v>
      </c>
      <c r="AB32" s="1">
        <v>7.4727597000000001</v>
      </c>
      <c r="AC32" s="1">
        <v>18.0945584</v>
      </c>
      <c r="AD32" s="1">
        <v>1.5118470399999999</v>
      </c>
      <c r="AE32" s="1">
        <v>1.08143269</v>
      </c>
      <c r="AF32" s="1">
        <v>0.24393777999999999</v>
      </c>
      <c r="AG32" s="1">
        <v>0.88250645000000005</v>
      </c>
      <c r="AH32" s="1">
        <v>1.05679243</v>
      </c>
      <c r="AI32" s="1">
        <v>13.68311308</v>
      </c>
      <c r="AJ32" s="1">
        <v>0.68978158000000001</v>
      </c>
      <c r="AK32" s="1">
        <v>20.804741140000001</v>
      </c>
      <c r="AL32" s="1">
        <v>0</v>
      </c>
      <c r="AM32" s="1">
        <v>5.8037843499999999</v>
      </c>
      <c r="AN32" s="1">
        <v>1.49873301</v>
      </c>
      <c r="AO32" s="1">
        <v>4.1353906599999997</v>
      </c>
      <c r="AP32" s="1">
        <v>1.0544949400000001</v>
      </c>
      <c r="AQ32" s="1">
        <v>9.7772300000000006E-2</v>
      </c>
      <c r="AR32" s="1">
        <v>1.45386459</v>
      </c>
      <c r="AS32" s="1">
        <v>0.14882182999999999</v>
      </c>
      <c r="AT32" s="4">
        <v>0</v>
      </c>
      <c r="AU32" s="1">
        <v>7.7635975300000002</v>
      </c>
      <c r="AV32" s="1">
        <v>31.326962959999999</v>
      </c>
      <c r="AW32" s="1">
        <v>0</v>
      </c>
      <c r="AX32" s="1">
        <v>23.563365430000001</v>
      </c>
      <c r="AY32" s="4">
        <v>1646.52921965</v>
      </c>
      <c r="BB32" s="18"/>
      <c r="BC32">
        <f t="shared" si="1"/>
        <v>358.97991297999988</v>
      </c>
      <c r="BD32" s="1" t="s">
        <v>29</v>
      </c>
      <c r="BE32">
        <f t="shared" si="4"/>
        <v>0</v>
      </c>
      <c r="BF32">
        <f t="shared" si="5"/>
        <v>1.1485145967567562E-3</v>
      </c>
      <c r="BG32">
        <f t="shared" si="6"/>
        <v>0.477008388097582</v>
      </c>
      <c r="BH32">
        <f t="shared" si="7"/>
        <v>5.9705901987875641E-3</v>
      </c>
      <c r="BI32">
        <f t="shared" si="8"/>
        <v>2.9504450296610583E-4</v>
      </c>
      <c r="BJ32">
        <f t="shared" si="9"/>
        <v>5.1329876223538459E-3</v>
      </c>
      <c r="BK32">
        <f t="shared" si="10"/>
        <v>3.1955509445563641E-4</v>
      </c>
      <c r="BL32">
        <f t="shared" si="11"/>
        <v>3.7105736890470859E-3</v>
      </c>
      <c r="BM32">
        <f t="shared" si="12"/>
        <v>4.0233276230151266E-3</v>
      </c>
      <c r="BN32">
        <f t="shared" si="13"/>
        <v>2.5738488438807921E-2</v>
      </c>
      <c r="BO32">
        <f t="shared" si="14"/>
        <v>4.8625480615603458E-3</v>
      </c>
      <c r="BP32">
        <f t="shared" si="15"/>
        <v>5.1423088402800044E-3</v>
      </c>
      <c r="BQ32">
        <f t="shared" si="16"/>
        <v>2.588590493228439E-3</v>
      </c>
      <c r="BR32">
        <f t="shared" si="17"/>
        <v>4.160622001385389E-2</v>
      </c>
      <c r="BS32">
        <f t="shared" si="18"/>
        <v>1.7275017280271897E-3</v>
      </c>
      <c r="BT32">
        <f t="shared" si="19"/>
        <v>2.9813967336373729E-3</v>
      </c>
      <c r="BU32">
        <f t="shared" si="20"/>
        <v>5.7704702271611785E-4</v>
      </c>
      <c r="BV32">
        <f t="shared" si="21"/>
        <v>5.0685802302853989E-3</v>
      </c>
      <c r="BW32">
        <f t="shared" si="22"/>
        <v>1.508261160089382E-3</v>
      </c>
      <c r="BX32">
        <f t="shared" si="23"/>
        <v>1.9129117958147661E-3</v>
      </c>
      <c r="BY32">
        <f t="shared" si="24"/>
        <v>8.6101230326283015E-2</v>
      </c>
      <c r="BZ32">
        <f t="shared" si="25"/>
        <v>1.5572720917984781E-3</v>
      </c>
      <c r="CA32">
        <f t="shared" si="26"/>
        <v>3.6245736403431907E-3</v>
      </c>
      <c r="CB32">
        <f t="shared" si="27"/>
        <v>8.0695522374851988E-3</v>
      </c>
      <c r="CC32">
        <f t="shared" si="28"/>
        <v>2.0816651377416586E-2</v>
      </c>
      <c r="CD32">
        <f t="shared" si="29"/>
        <v>5.0405489961239461E-2</v>
      </c>
      <c r="CE32">
        <f t="shared" si="30"/>
        <v>4.2115087372151397E-3</v>
      </c>
      <c r="CF32">
        <f t="shared" si="31"/>
        <v>3.0125158843086874E-3</v>
      </c>
      <c r="CG32">
        <f t="shared" si="32"/>
        <v>6.795304449627817E-4</v>
      </c>
      <c r="CH32">
        <f t="shared" si="33"/>
        <v>2.4583727893687686E-3</v>
      </c>
      <c r="CI32">
        <f t="shared" si="34"/>
        <v>2.9438762220071013E-3</v>
      </c>
      <c r="CJ32">
        <f t="shared" si="35"/>
        <v>3.8116653843977999E-2</v>
      </c>
      <c r="CK32">
        <f t="shared" si="36"/>
        <v>1.9215046721525902E-3</v>
      </c>
      <c r="CL32">
        <f t="shared" si="37"/>
        <v>5.7955167929296121E-2</v>
      </c>
      <c r="CM32">
        <f t="shared" si="38"/>
        <v>0</v>
      </c>
      <c r="CN32">
        <f t="shared" si="39"/>
        <v>1.6167434834503818E-2</v>
      </c>
      <c r="CO32">
        <f t="shared" si="40"/>
        <v>4.1749773617096508E-3</v>
      </c>
      <c r="CP32">
        <f t="shared" si="41"/>
        <v>1.1519838605093199E-2</v>
      </c>
      <c r="CQ32">
        <f t="shared" si="42"/>
        <v>2.9374761703136018E-3</v>
      </c>
      <c r="CR32">
        <f t="shared" si="43"/>
        <v>2.7236147891497001E-4</v>
      </c>
      <c r="CS32">
        <f t="shared" si="44"/>
        <v>4.0499886969469524E-3</v>
      </c>
      <c r="CT32">
        <f t="shared" si="45"/>
        <v>4.1456868370317814E-4</v>
      </c>
    </row>
    <row r="33" spans="1:98" x14ac:dyDescent="0.25">
      <c r="A33" s="14"/>
      <c r="B33" s="11"/>
      <c r="C33" s="1" t="s">
        <v>30</v>
      </c>
      <c r="D33" s="1">
        <v>0</v>
      </c>
      <c r="E33" s="1">
        <v>3.93265149</v>
      </c>
      <c r="F33" s="1">
        <v>5.0887999999999997E-4</v>
      </c>
      <c r="G33" s="1">
        <v>79.338665989999996</v>
      </c>
      <c r="H33" s="1">
        <v>0.45016289999999998</v>
      </c>
      <c r="I33" s="1">
        <v>4.6756473600000001</v>
      </c>
      <c r="J33" s="1">
        <v>1.22165656</v>
      </c>
      <c r="K33" s="1">
        <v>273.77401021999998</v>
      </c>
      <c r="L33" s="1">
        <v>8.8764423400000005</v>
      </c>
      <c r="M33" s="1">
        <v>27.364484470000001</v>
      </c>
      <c r="N33" s="1">
        <v>8.9722000000000001E-4</v>
      </c>
      <c r="O33" s="1">
        <v>23.23885752</v>
      </c>
      <c r="P33" s="1">
        <v>26.631624009999999</v>
      </c>
      <c r="Q33" s="1">
        <v>4.5474489999999999E-2</v>
      </c>
      <c r="R33" s="1">
        <v>7.2134250499999997</v>
      </c>
      <c r="S33" s="1">
        <v>216.06094593</v>
      </c>
      <c r="T33" s="1">
        <v>1845.2040511</v>
      </c>
      <c r="U33" s="1">
        <v>14.045614499999999</v>
      </c>
      <c r="V33" s="1">
        <v>0.68955283000000001</v>
      </c>
      <c r="W33" s="1">
        <v>1.54318965</v>
      </c>
      <c r="X33" s="1">
        <v>93.514825049999999</v>
      </c>
      <c r="Y33" s="1">
        <v>0.82098362000000003</v>
      </c>
      <c r="Z33" s="1">
        <v>8.1992495999999999</v>
      </c>
      <c r="AA33" s="1">
        <v>3.3438245100000001</v>
      </c>
      <c r="AB33" s="1">
        <v>359.37267194999998</v>
      </c>
      <c r="AC33" s="1">
        <v>155.1487046</v>
      </c>
      <c r="AD33" s="1">
        <v>113.58244902</v>
      </c>
      <c r="AE33" s="1">
        <v>23.415908590000001</v>
      </c>
      <c r="AF33" s="1">
        <v>0</v>
      </c>
      <c r="AG33" s="1">
        <v>0</v>
      </c>
      <c r="AH33" s="1">
        <v>5003.4812305200003</v>
      </c>
      <c r="AI33" s="1">
        <v>240.79088161000001</v>
      </c>
      <c r="AJ33" s="1">
        <v>322.88898072000001</v>
      </c>
      <c r="AK33" s="1">
        <v>1443.47082015</v>
      </c>
      <c r="AL33" s="1">
        <v>0</v>
      </c>
      <c r="AM33" s="1">
        <v>137.37855619999999</v>
      </c>
      <c r="AN33" s="1">
        <v>15.51778889</v>
      </c>
      <c r="AO33" s="1">
        <v>51.246221480000003</v>
      </c>
      <c r="AP33" s="1">
        <v>5.2095887999999997</v>
      </c>
      <c r="AQ33" s="1">
        <v>0.43199197</v>
      </c>
      <c r="AR33" s="1">
        <v>29.13003702</v>
      </c>
      <c r="AS33" s="1">
        <v>3.1965405800000002</v>
      </c>
      <c r="AT33" s="4">
        <v>5059.2757242099997</v>
      </c>
      <c r="AU33" s="1">
        <v>0</v>
      </c>
      <c r="AV33" s="1">
        <v>7724.6194709000001</v>
      </c>
      <c r="AW33" s="1">
        <v>2206.5968000900002</v>
      </c>
      <c r="AX33" s="1">
        <v>458.7469466</v>
      </c>
      <c r="AY33" s="4">
        <v>16760.951383079999</v>
      </c>
      <c r="BB33" s="18"/>
      <c r="BC33">
        <f t="shared" si="1"/>
        <v>18269.06858829</v>
      </c>
      <c r="BD33" s="1" t="s">
        <v>30</v>
      </c>
      <c r="BE33">
        <f t="shared" si="4"/>
        <v>0</v>
      </c>
      <c r="BF33">
        <f t="shared" si="5"/>
        <v>2.1526283461001006E-4</v>
      </c>
      <c r="BG33">
        <f t="shared" si="6"/>
        <v>2.7854731484569438E-8</v>
      </c>
      <c r="BH33">
        <f t="shared" si="7"/>
        <v>4.3427865852369739E-3</v>
      </c>
      <c r="BI33">
        <f t="shared" si="8"/>
        <v>2.4640714321284158E-5</v>
      </c>
      <c r="BJ33">
        <f t="shared" si="9"/>
        <v>2.5593244326626311E-4</v>
      </c>
      <c r="BK33">
        <f t="shared" si="10"/>
        <v>6.687021585671041E-5</v>
      </c>
      <c r="BL33">
        <f t="shared" si="11"/>
        <v>1.4985657801705448E-2</v>
      </c>
      <c r="BM33">
        <f t="shared" si="12"/>
        <v>4.858727360457539E-4</v>
      </c>
      <c r="BN33">
        <f t="shared" si="13"/>
        <v>1.4978587626267891E-3</v>
      </c>
      <c r="BO33">
        <f t="shared" si="14"/>
        <v>4.9111425449193115E-8</v>
      </c>
      <c r="BP33">
        <f t="shared" si="15"/>
        <v>1.2720329669622843E-3</v>
      </c>
      <c r="BQ33">
        <f t="shared" si="16"/>
        <v>1.4577439392323582E-3</v>
      </c>
      <c r="BR33">
        <f t="shared" si="17"/>
        <v>2.4891520758287575E-6</v>
      </c>
      <c r="BS33">
        <f t="shared" si="18"/>
        <v>3.9484361313436736E-4</v>
      </c>
      <c r="BT33">
        <f t="shared" si="19"/>
        <v>1.1826598870425692E-2</v>
      </c>
      <c r="BU33">
        <f t="shared" si="20"/>
        <v>0.10100153941524573</v>
      </c>
      <c r="BV33">
        <f t="shared" si="21"/>
        <v>7.6881940817732084E-4</v>
      </c>
      <c r="BW33">
        <f t="shared" si="22"/>
        <v>3.7744279445203105E-5</v>
      </c>
      <c r="BX33">
        <f t="shared" si="23"/>
        <v>8.4470078074431478E-5</v>
      </c>
      <c r="BY33">
        <f t="shared" si="24"/>
        <v>5.1187516538166913E-3</v>
      </c>
      <c r="BZ33">
        <f t="shared" si="25"/>
        <v>4.4938449709813302E-5</v>
      </c>
      <c r="CA33">
        <f t="shared" si="26"/>
        <v>4.4880501490128001E-4</v>
      </c>
      <c r="CB33">
        <f t="shared" si="27"/>
        <v>1.8303201905669702E-4</v>
      </c>
      <c r="CC33">
        <f t="shared" si="28"/>
        <v>1.9671099827188156E-2</v>
      </c>
      <c r="CD33">
        <f t="shared" si="29"/>
        <v>8.4924255361023878E-3</v>
      </c>
      <c r="CE33">
        <f t="shared" si="30"/>
        <v>6.2171997697136796E-3</v>
      </c>
      <c r="CF33">
        <f t="shared" si="31"/>
        <v>1.2817242694577759E-3</v>
      </c>
      <c r="CG33">
        <f t="shared" si="32"/>
        <v>0</v>
      </c>
      <c r="CH33">
        <f t="shared" si="33"/>
        <v>0</v>
      </c>
      <c r="CI33">
        <f t="shared" si="34"/>
        <v>0.27387719337411115</v>
      </c>
      <c r="CJ33">
        <f t="shared" si="35"/>
        <v>1.3180249471740488E-2</v>
      </c>
      <c r="CK33">
        <f t="shared" si="36"/>
        <v>1.7674080052825652E-2</v>
      </c>
      <c r="CL33">
        <f t="shared" si="37"/>
        <v>7.9011735774818181E-2</v>
      </c>
      <c r="CM33">
        <f t="shared" si="38"/>
        <v>0</v>
      </c>
      <c r="CN33">
        <f t="shared" si="39"/>
        <v>7.5197350941063352E-3</v>
      </c>
      <c r="CO33">
        <f t="shared" si="40"/>
        <v>8.4940230067046224E-4</v>
      </c>
      <c r="CP33">
        <f t="shared" si="41"/>
        <v>2.805081235112747E-3</v>
      </c>
      <c r="CQ33">
        <f t="shared" si="42"/>
        <v>2.8515897101285236E-4</v>
      </c>
      <c r="CR33">
        <f t="shared" si="43"/>
        <v>2.3646086165383148E-5</v>
      </c>
      <c r="CS33">
        <f t="shared" si="44"/>
        <v>1.5945003916987646E-3</v>
      </c>
      <c r="CT33">
        <f t="shared" si="45"/>
        <v>1.7497009026770527E-4</v>
      </c>
    </row>
    <row r="34" spans="1:98" x14ac:dyDescent="0.25">
      <c r="A34" s="14"/>
      <c r="B34" s="11"/>
      <c r="C34" s="1" t="s">
        <v>31</v>
      </c>
      <c r="D34" s="1">
        <v>0</v>
      </c>
      <c r="E34" s="1">
        <v>2.3648232899999999</v>
      </c>
      <c r="F34" s="1">
        <v>3.8478800000000001E-3</v>
      </c>
      <c r="G34" s="1">
        <v>34.196778649999999</v>
      </c>
      <c r="H34" s="1">
        <v>4.4534310000000001E-2</v>
      </c>
      <c r="I34" s="1">
        <v>9.0623155099999995</v>
      </c>
      <c r="J34" s="1">
        <v>1.2724213799999999</v>
      </c>
      <c r="K34" s="1">
        <v>162.50304600999999</v>
      </c>
      <c r="L34" s="1">
        <v>5.0454891399999999</v>
      </c>
      <c r="M34" s="1">
        <v>0.96391855000000004</v>
      </c>
      <c r="N34" s="1">
        <v>2.5808E-4</v>
      </c>
      <c r="O34" s="1">
        <v>6.757647E-2</v>
      </c>
      <c r="P34" s="1">
        <v>1.34150082</v>
      </c>
      <c r="Q34" s="1">
        <v>4.5642886300000001</v>
      </c>
      <c r="R34" s="1">
        <v>5.8795822900000001</v>
      </c>
      <c r="S34" s="1">
        <v>1.07545037</v>
      </c>
      <c r="T34" s="1">
        <v>17.095976279999999</v>
      </c>
      <c r="U34" s="1">
        <v>5.2366000000000001E-4</v>
      </c>
      <c r="V34" s="1">
        <v>5.6547149999999997E-2</v>
      </c>
      <c r="W34" s="1">
        <v>0.92455834999999997</v>
      </c>
      <c r="X34" s="1">
        <v>20.232757960000001</v>
      </c>
      <c r="Y34" s="1">
        <v>0.15794437</v>
      </c>
      <c r="Z34" s="1">
        <v>6.7946610400000003</v>
      </c>
      <c r="AA34" s="1">
        <v>7.9815148599999999</v>
      </c>
      <c r="AB34" s="1">
        <v>66.715125029999996</v>
      </c>
      <c r="AC34" s="1">
        <v>150.37135597</v>
      </c>
      <c r="AD34" s="1">
        <v>206.59614264000001</v>
      </c>
      <c r="AE34" s="1">
        <v>9.9946698499999993</v>
      </c>
      <c r="AF34" s="1">
        <v>0.34895158999999998</v>
      </c>
      <c r="AG34" s="1">
        <v>0</v>
      </c>
      <c r="AH34" s="1">
        <v>228.97989770999999</v>
      </c>
      <c r="AI34" s="1">
        <v>1306.3026500200001</v>
      </c>
      <c r="AJ34" s="1">
        <v>281.26436002000003</v>
      </c>
      <c r="AK34" s="1">
        <v>570.33609659000001</v>
      </c>
      <c r="AL34" s="1">
        <v>0</v>
      </c>
      <c r="AM34" s="1">
        <v>8.5732088900000001</v>
      </c>
      <c r="AN34" s="1">
        <v>14.29451667</v>
      </c>
      <c r="AO34" s="1">
        <v>66.42123857</v>
      </c>
      <c r="AP34" s="1">
        <v>20.210083829999999</v>
      </c>
      <c r="AQ34" s="1">
        <v>5.8321835799999997</v>
      </c>
      <c r="AR34" s="1">
        <v>11.388594550000001</v>
      </c>
      <c r="AS34" s="1">
        <v>6.8757531399999996</v>
      </c>
      <c r="AT34" s="4">
        <v>0</v>
      </c>
      <c r="AU34" s="1">
        <v>0</v>
      </c>
      <c r="AV34" s="1">
        <v>4768.40463705</v>
      </c>
      <c r="AW34" s="1">
        <v>4684.8024920899998</v>
      </c>
      <c r="AX34" s="1">
        <v>83.602144960000004</v>
      </c>
      <c r="AY34" s="4">
        <v>12712.75753889</v>
      </c>
      <c r="BB34" s="18"/>
      <c r="BC34">
        <f t="shared" si="1"/>
        <v>8004.5397807500003</v>
      </c>
      <c r="BD34" s="1" t="s">
        <v>31</v>
      </c>
      <c r="BE34">
        <f t="shared" si="4"/>
        <v>0</v>
      </c>
      <c r="BF34">
        <f t="shared" si="5"/>
        <v>2.9543525983681518E-4</v>
      </c>
      <c r="BG34">
        <f t="shared" si="6"/>
        <v>4.8071220899591385E-7</v>
      </c>
      <c r="BH34">
        <f t="shared" si="7"/>
        <v>4.272172990162324E-3</v>
      </c>
      <c r="BI34">
        <f t="shared" si="8"/>
        <v>5.5636315415784307E-6</v>
      </c>
      <c r="BJ34">
        <f t="shared" si="9"/>
        <v>1.1321469763688136E-3</v>
      </c>
      <c r="BK34">
        <f t="shared" si="10"/>
        <v>1.5896246565730453E-4</v>
      </c>
      <c r="BL34">
        <f t="shared" si="11"/>
        <v>2.0301360285672036E-2</v>
      </c>
      <c r="BM34">
        <f t="shared" si="12"/>
        <v>6.3032844838048312E-4</v>
      </c>
      <c r="BN34">
        <f t="shared" si="13"/>
        <v>1.2042148285877891E-4</v>
      </c>
      <c r="BO34">
        <f t="shared" si="14"/>
        <v>3.2241703716764924E-8</v>
      </c>
      <c r="BP34">
        <f t="shared" si="15"/>
        <v>8.4422679942841501E-6</v>
      </c>
      <c r="BQ34">
        <f t="shared" si="16"/>
        <v>1.6759249835026813E-4</v>
      </c>
      <c r="BR34">
        <f t="shared" si="17"/>
        <v>5.7021249878432619E-4</v>
      </c>
      <c r="BS34">
        <f t="shared" si="18"/>
        <v>7.3453096006090453E-4</v>
      </c>
      <c r="BT34">
        <f t="shared" si="19"/>
        <v>1.3435505343934134E-4</v>
      </c>
      <c r="BU34">
        <f t="shared" si="20"/>
        <v>2.1357850355261973E-3</v>
      </c>
      <c r="BV34">
        <f t="shared" si="21"/>
        <v>6.5420375729700564E-8</v>
      </c>
      <c r="BW34">
        <f t="shared" si="22"/>
        <v>7.0643849051746119E-6</v>
      </c>
      <c r="BX34">
        <f t="shared" si="23"/>
        <v>1.1550424825465378E-4</v>
      </c>
      <c r="BY34">
        <f t="shared" si="24"/>
        <v>2.5276603670154108E-3</v>
      </c>
      <c r="BZ34">
        <f t="shared" si="25"/>
        <v>1.9731848966487504E-5</v>
      </c>
      <c r="CA34">
        <f t="shared" si="26"/>
        <v>8.4885093036084105E-4</v>
      </c>
      <c r="CB34">
        <f t="shared" si="27"/>
        <v>9.9712351723138743E-4</v>
      </c>
      <c r="CC34">
        <f t="shared" si="28"/>
        <v>8.3346609370900018E-3</v>
      </c>
      <c r="CD34">
        <f t="shared" si="29"/>
        <v>1.8785759092812038E-2</v>
      </c>
      <c r="CE34">
        <f t="shared" si="30"/>
        <v>2.580987143531225E-2</v>
      </c>
      <c r="CF34">
        <f t="shared" si="31"/>
        <v>1.2486251706857693E-3</v>
      </c>
      <c r="CG34">
        <f t="shared" si="32"/>
        <v>4.3594210230448043E-5</v>
      </c>
      <c r="CH34">
        <f t="shared" si="33"/>
        <v>0</v>
      </c>
      <c r="CI34">
        <f t="shared" si="34"/>
        <v>2.8606253948624299E-2</v>
      </c>
      <c r="CJ34">
        <f t="shared" si="35"/>
        <v>0.16319522243633644</v>
      </c>
      <c r="CK34">
        <f t="shared" si="36"/>
        <v>3.5138105090864631E-2</v>
      </c>
      <c r="CL34">
        <f t="shared" si="37"/>
        <v>7.1251578755544803E-2</v>
      </c>
      <c r="CM34">
        <f t="shared" si="38"/>
        <v>0</v>
      </c>
      <c r="CN34">
        <f t="shared" si="39"/>
        <v>1.0710433235171851E-3</v>
      </c>
      <c r="CO34">
        <f t="shared" si="40"/>
        <v>1.7858011905164956E-3</v>
      </c>
      <c r="CP34">
        <f t="shared" si="41"/>
        <v>8.2979459643308228E-3</v>
      </c>
      <c r="CQ34">
        <f t="shared" si="42"/>
        <v>2.5248277082216431E-3</v>
      </c>
      <c r="CR34">
        <f t="shared" si="43"/>
        <v>7.2860948158765253E-4</v>
      </c>
      <c r="CS34">
        <f t="shared" si="44"/>
        <v>1.4227669375056718E-3</v>
      </c>
      <c r="CT34">
        <f t="shared" si="45"/>
        <v>8.5898169393016158E-4</v>
      </c>
    </row>
    <row r="35" spans="1:98" x14ac:dyDescent="0.25">
      <c r="A35" s="14"/>
      <c r="B35" s="11"/>
      <c r="C35" s="1" t="s">
        <v>32</v>
      </c>
      <c r="D35" s="1">
        <v>0</v>
      </c>
      <c r="E35" s="1">
        <v>190.32313227</v>
      </c>
      <c r="F35" s="1">
        <v>7.8102018099999997</v>
      </c>
      <c r="G35" s="1">
        <v>36.493101410000001</v>
      </c>
      <c r="H35" s="1">
        <v>0.23386291000000001</v>
      </c>
      <c r="I35" s="1">
        <v>10.86556392</v>
      </c>
      <c r="J35" s="1">
        <v>2.88201558</v>
      </c>
      <c r="K35" s="1">
        <v>14.494956090000001</v>
      </c>
      <c r="L35" s="1">
        <v>5.1363422099999996</v>
      </c>
      <c r="M35" s="1">
        <v>20.284097760000002</v>
      </c>
      <c r="N35" s="1">
        <v>8.8009017000000007</v>
      </c>
      <c r="O35" s="1">
        <v>26.724789099999999</v>
      </c>
      <c r="P35" s="1">
        <v>0.69786108000000002</v>
      </c>
      <c r="Q35" s="1">
        <v>1.14949163</v>
      </c>
      <c r="R35" s="1">
        <v>4.5296303800000004</v>
      </c>
      <c r="S35" s="1">
        <v>135.50066806999999</v>
      </c>
      <c r="T35" s="1">
        <v>28.628253999999998</v>
      </c>
      <c r="U35" s="1">
        <v>3.6659959999999998E-2</v>
      </c>
      <c r="V35" s="1">
        <v>7.9266527800000004</v>
      </c>
      <c r="W35" s="1">
        <v>48.722438850000003</v>
      </c>
      <c r="X35" s="1">
        <v>100.62511855</v>
      </c>
      <c r="Y35" s="1">
        <v>5.2512630199999997</v>
      </c>
      <c r="Z35" s="1">
        <v>11.324541610000001</v>
      </c>
      <c r="AA35" s="1">
        <v>594.74729795999997</v>
      </c>
      <c r="AB35" s="1">
        <v>92.812544110000005</v>
      </c>
      <c r="AC35" s="1">
        <v>53.915199190000003</v>
      </c>
      <c r="AD35" s="1">
        <v>10.44463985</v>
      </c>
      <c r="AE35" s="1">
        <v>31.650005180000001</v>
      </c>
      <c r="AF35" s="1">
        <v>2.8246588400000001</v>
      </c>
      <c r="AG35" s="1">
        <v>0</v>
      </c>
      <c r="AH35" s="1">
        <v>89.098163229999997</v>
      </c>
      <c r="AI35" s="1">
        <v>574.00122237999994</v>
      </c>
      <c r="AJ35" s="1">
        <v>839.36556444999997</v>
      </c>
      <c r="AK35" s="1">
        <v>903.30363097999998</v>
      </c>
      <c r="AL35" s="1">
        <v>0</v>
      </c>
      <c r="AM35" s="1">
        <v>6.8955913799999999</v>
      </c>
      <c r="AN35" s="1">
        <v>20.84131107</v>
      </c>
      <c r="AO35" s="1">
        <v>88.192218990000001</v>
      </c>
      <c r="AP35" s="1">
        <v>3.13801153</v>
      </c>
      <c r="AQ35" s="1">
        <v>1.257636E-2</v>
      </c>
      <c r="AR35" s="1">
        <v>4.6209073299999996</v>
      </c>
      <c r="AS35" s="1">
        <v>6.8985891099999996</v>
      </c>
      <c r="AT35" s="4">
        <v>1904.0776900000001</v>
      </c>
      <c r="AU35" s="1">
        <v>0</v>
      </c>
      <c r="AV35" s="1">
        <v>9171.4658598000005</v>
      </c>
      <c r="AW35" s="1">
        <v>7267.3881697999996</v>
      </c>
      <c r="AX35" s="1">
        <v>0</v>
      </c>
      <c r="AY35" s="4">
        <v>12335.87673231</v>
      </c>
      <c r="BB35" s="18"/>
      <c r="BC35">
        <f t="shared" si="1"/>
        <v>13162.669536429999</v>
      </c>
      <c r="BD35" s="1" t="s">
        <v>32</v>
      </c>
      <c r="BE35">
        <f t="shared" si="4"/>
        <v>0</v>
      </c>
      <c r="BF35">
        <f t="shared" si="5"/>
        <v>1.445931098879656E-2</v>
      </c>
      <c r="BG35">
        <f t="shared" si="6"/>
        <v>5.9336001624776E-4</v>
      </c>
      <c r="BH35">
        <f t="shared" si="7"/>
        <v>2.7724696201632151E-3</v>
      </c>
      <c r="BI35">
        <f t="shared" si="8"/>
        <v>1.7767133737783459E-5</v>
      </c>
      <c r="BJ35">
        <f t="shared" si="9"/>
        <v>8.2548330260268587E-4</v>
      </c>
      <c r="BK35">
        <f t="shared" si="10"/>
        <v>2.1895372910666152E-4</v>
      </c>
      <c r="BL35">
        <f t="shared" si="11"/>
        <v>1.1012170479462896E-3</v>
      </c>
      <c r="BM35">
        <f t="shared" si="12"/>
        <v>3.9022040291935238E-4</v>
      </c>
      <c r="BN35">
        <f t="shared" si="13"/>
        <v>1.5410322126419873E-3</v>
      </c>
      <c r="BO35">
        <f t="shared" si="14"/>
        <v>6.6862589504674262E-4</v>
      </c>
      <c r="BP35">
        <f t="shared" si="15"/>
        <v>2.0303471895297873E-3</v>
      </c>
      <c r="BQ35">
        <f t="shared" si="16"/>
        <v>5.3018202581820269E-5</v>
      </c>
      <c r="BR35">
        <f t="shared" si="17"/>
        <v>8.7329673271715902E-5</v>
      </c>
      <c r="BS35">
        <f t="shared" si="18"/>
        <v>3.4412703042216875E-4</v>
      </c>
      <c r="BT35">
        <f t="shared" si="19"/>
        <v>1.0294315123157814E-2</v>
      </c>
      <c r="BU35">
        <f t="shared" si="20"/>
        <v>2.1749580448530048E-3</v>
      </c>
      <c r="BV35">
        <f t="shared" si="21"/>
        <v>2.7851462728390407E-6</v>
      </c>
      <c r="BW35">
        <f t="shared" si="22"/>
        <v>6.0220707950325706E-4</v>
      </c>
      <c r="BX35">
        <f t="shared" si="23"/>
        <v>3.7015621120892002E-3</v>
      </c>
      <c r="BY35">
        <f t="shared" si="24"/>
        <v>7.6447348519616256E-3</v>
      </c>
      <c r="BZ35">
        <f t="shared" si="25"/>
        <v>3.9895121620019456E-4</v>
      </c>
      <c r="CA35">
        <f t="shared" si="26"/>
        <v>8.6035295337753056E-4</v>
      </c>
      <c r="CB35">
        <f t="shared" si="27"/>
        <v>4.5184397915174604E-2</v>
      </c>
      <c r="CC35">
        <f t="shared" si="28"/>
        <v>7.0511945812454678E-3</v>
      </c>
      <c r="CD35">
        <f t="shared" si="29"/>
        <v>4.0960687374837013E-3</v>
      </c>
      <c r="CE35">
        <f t="shared" si="30"/>
        <v>7.9350467783853606E-4</v>
      </c>
      <c r="CF35">
        <f t="shared" si="31"/>
        <v>2.4045278271556583E-3</v>
      </c>
      <c r="CG35">
        <f t="shared" si="32"/>
        <v>2.1459619814827538E-4</v>
      </c>
      <c r="CH35">
        <f t="shared" si="33"/>
        <v>0</v>
      </c>
      <c r="CI35">
        <f t="shared" si="34"/>
        <v>6.7690040370158334E-3</v>
      </c>
      <c r="CJ35">
        <f t="shared" si="35"/>
        <v>4.3608268124589074E-2</v>
      </c>
      <c r="CK35">
        <f t="shared" si="36"/>
        <v>6.3768642229215619E-2</v>
      </c>
      <c r="CL35">
        <f t="shared" si="37"/>
        <v>6.8626172561724541E-2</v>
      </c>
      <c r="CM35">
        <f t="shared" si="38"/>
        <v>0</v>
      </c>
      <c r="CN35">
        <f t="shared" si="39"/>
        <v>5.2387483868034828E-4</v>
      </c>
      <c r="CO35">
        <f t="shared" si="40"/>
        <v>1.5833650622556475E-3</v>
      </c>
      <c r="CP35">
        <f t="shared" si="41"/>
        <v>6.700177250968168E-3</v>
      </c>
      <c r="CQ35">
        <f t="shared" si="42"/>
        <v>2.3840236369339837E-4</v>
      </c>
      <c r="CR35">
        <f t="shared" si="43"/>
        <v>9.5545663933844995E-7</v>
      </c>
      <c r="CS35">
        <f t="shared" si="44"/>
        <v>3.510615621862136E-4</v>
      </c>
      <c r="CT35">
        <f t="shared" si="45"/>
        <v>5.2410258351521654E-4</v>
      </c>
    </row>
    <row r="36" spans="1:98" x14ac:dyDescent="0.25">
      <c r="A36" s="14"/>
      <c r="B36" s="11"/>
      <c r="C36" s="1" t="s">
        <v>33</v>
      </c>
      <c r="D36" s="1">
        <v>0</v>
      </c>
      <c r="E36" s="1">
        <v>4.9322340200000001</v>
      </c>
      <c r="F36" s="1">
        <v>1.176457E-2</v>
      </c>
      <c r="G36" s="1">
        <v>179.33645798000001</v>
      </c>
      <c r="H36" s="1">
        <v>2.40711217</v>
      </c>
      <c r="I36" s="1">
        <v>97.034957939999998</v>
      </c>
      <c r="J36" s="1">
        <v>2.0883335299999999</v>
      </c>
      <c r="K36" s="1">
        <v>592.15521987</v>
      </c>
      <c r="L36" s="1">
        <v>400.31980374</v>
      </c>
      <c r="M36" s="1">
        <v>47.18196451</v>
      </c>
      <c r="N36" s="1">
        <v>0.1490031</v>
      </c>
      <c r="O36" s="1">
        <v>58.253655649999999</v>
      </c>
      <c r="P36" s="1">
        <v>30.38579859</v>
      </c>
      <c r="Q36" s="1">
        <v>13.16057241</v>
      </c>
      <c r="R36" s="1">
        <v>380.97180501000003</v>
      </c>
      <c r="S36" s="1">
        <v>97.670130529999994</v>
      </c>
      <c r="T36" s="1">
        <v>570.20859313999995</v>
      </c>
      <c r="U36" s="1">
        <v>1.0258714499999999</v>
      </c>
      <c r="V36" s="1">
        <v>12.243589679999999</v>
      </c>
      <c r="W36" s="1">
        <v>33.564320729999999</v>
      </c>
      <c r="X36" s="1">
        <v>59.268147710000001</v>
      </c>
      <c r="Y36" s="1">
        <v>2.5153525600000002</v>
      </c>
      <c r="Z36" s="1">
        <v>9.2490668500000002</v>
      </c>
      <c r="AA36" s="1">
        <v>7.7817767499999997</v>
      </c>
      <c r="AB36" s="1">
        <v>479.11549341</v>
      </c>
      <c r="AC36" s="1">
        <v>571.14385359000005</v>
      </c>
      <c r="AD36" s="1">
        <v>659.91901660999997</v>
      </c>
      <c r="AE36" s="1">
        <v>222.76154503999999</v>
      </c>
      <c r="AF36" s="1">
        <v>5.4388927300000001</v>
      </c>
      <c r="AG36" s="1">
        <v>0</v>
      </c>
      <c r="AH36" s="1">
        <v>880.77000327999997</v>
      </c>
      <c r="AI36" s="1">
        <v>785.82896547999997</v>
      </c>
      <c r="AJ36" s="1">
        <v>266.24170672999998</v>
      </c>
      <c r="AK36" s="1">
        <v>2250.1994649399999</v>
      </c>
      <c r="AL36" s="1">
        <v>0</v>
      </c>
      <c r="AM36" s="1">
        <v>9.9408776700000008</v>
      </c>
      <c r="AN36" s="1">
        <v>36.934311719999997</v>
      </c>
      <c r="AO36" s="1">
        <v>179.86160447</v>
      </c>
      <c r="AP36" s="1">
        <v>17.574987109999999</v>
      </c>
      <c r="AQ36" s="1">
        <v>0.11022593</v>
      </c>
      <c r="AR36" s="1">
        <v>3.9097196599999999</v>
      </c>
      <c r="AS36" s="1">
        <v>9.9991973400000003</v>
      </c>
      <c r="AT36" s="4">
        <v>0</v>
      </c>
      <c r="AU36" s="1">
        <v>0</v>
      </c>
      <c r="AV36" s="1">
        <v>1492.91302746</v>
      </c>
      <c r="AW36" s="1">
        <v>926.91460623</v>
      </c>
      <c r="AX36" s="1">
        <v>565.99842122999996</v>
      </c>
      <c r="AY36" s="4">
        <v>14727.83223125</v>
      </c>
      <c r="BB36" s="18"/>
      <c r="BC36">
        <f t="shared" si="1"/>
        <v>10474.578425659998</v>
      </c>
      <c r="BD36" s="1" t="s">
        <v>33</v>
      </c>
      <c r="BE36">
        <f t="shared" si="4"/>
        <v>0</v>
      </c>
      <c r="BF36">
        <f t="shared" si="5"/>
        <v>4.7087661379452818E-4</v>
      </c>
      <c r="BG36">
        <f t="shared" si="6"/>
        <v>1.1231545100831797E-6</v>
      </c>
      <c r="BH36">
        <f t="shared" si="7"/>
        <v>1.7121114635093308E-2</v>
      </c>
      <c r="BI36">
        <f t="shared" si="8"/>
        <v>2.2980515990058369E-4</v>
      </c>
      <c r="BJ36">
        <f t="shared" si="9"/>
        <v>9.2638533024192692E-3</v>
      </c>
      <c r="BK36">
        <f t="shared" si="10"/>
        <v>1.9937160667813844E-4</v>
      </c>
      <c r="BL36">
        <f t="shared" si="11"/>
        <v>5.6532606450238936E-2</v>
      </c>
      <c r="BM36">
        <f t="shared" si="12"/>
        <v>3.8218225829434856E-2</v>
      </c>
      <c r="BN36">
        <f t="shared" si="13"/>
        <v>4.5044261060107615E-3</v>
      </c>
      <c r="BO36">
        <f t="shared" si="14"/>
        <v>1.4225212122616894E-5</v>
      </c>
      <c r="BP36">
        <f t="shared" si="15"/>
        <v>5.5614320006706587E-3</v>
      </c>
      <c r="BQ36">
        <f t="shared" si="16"/>
        <v>2.9009089774498877E-3</v>
      </c>
      <c r="BR36">
        <f t="shared" si="17"/>
        <v>1.2564297936573767E-3</v>
      </c>
      <c r="BS36">
        <f t="shared" si="18"/>
        <v>3.6371087172035299E-2</v>
      </c>
      <c r="BT36">
        <f t="shared" si="19"/>
        <v>9.3244927443316989E-3</v>
      </c>
      <c r="BU36">
        <f t="shared" si="20"/>
        <v>5.4437378762961661E-2</v>
      </c>
      <c r="BV36">
        <f t="shared" si="21"/>
        <v>9.7939163593150554E-5</v>
      </c>
      <c r="BW36">
        <f t="shared" si="22"/>
        <v>1.1688861529745563E-3</v>
      </c>
      <c r="BX36">
        <f t="shared" si="23"/>
        <v>3.2043600578497864E-3</v>
      </c>
      <c r="BY36">
        <f t="shared" si="24"/>
        <v>5.6582847825940585E-3</v>
      </c>
      <c r="BZ36">
        <f t="shared" si="25"/>
        <v>2.4013878724112077E-4</v>
      </c>
      <c r="CA36">
        <f t="shared" si="26"/>
        <v>8.8300134612980582E-4</v>
      </c>
      <c r="CB36">
        <f t="shared" si="27"/>
        <v>7.4292028125319738E-4</v>
      </c>
      <c r="CC36">
        <f t="shared" si="28"/>
        <v>4.5740790124430344E-2</v>
      </c>
      <c r="CD36">
        <f t="shared" si="29"/>
        <v>5.4526667363609199E-2</v>
      </c>
      <c r="CE36">
        <f t="shared" si="30"/>
        <v>6.3001964355278453E-2</v>
      </c>
      <c r="CF36">
        <f t="shared" si="31"/>
        <v>2.1266874521106455E-2</v>
      </c>
      <c r="CG36">
        <f t="shared" si="32"/>
        <v>5.1924693376452502E-4</v>
      </c>
      <c r="CH36">
        <f t="shared" si="33"/>
        <v>0</v>
      </c>
      <c r="CI36">
        <f t="shared" si="34"/>
        <v>8.4086439328416515E-2</v>
      </c>
      <c r="CJ36">
        <f t="shared" si="35"/>
        <v>7.5022490982064066E-2</v>
      </c>
      <c r="CK36">
        <f t="shared" si="36"/>
        <v>2.5417892339970161E-2</v>
      </c>
      <c r="CL36">
        <f t="shared" si="37"/>
        <v>0.2148248238256153</v>
      </c>
      <c r="CM36">
        <f t="shared" si="38"/>
        <v>0</v>
      </c>
      <c r="CN36">
        <f t="shared" si="39"/>
        <v>9.4904799659024279E-4</v>
      </c>
      <c r="CO36">
        <f t="shared" si="40"/>
        <v>3.5260905230821054E-3</v>
      </c>
      <c r="CP36">
        <f t="shared" si="41"/>
        <v>1.7171249969295733E-2</v>
      </c>
      <c r="CQ36">
        <f t="shared" si="42"/>
        <v>1.6778705925716154E-3</v>
      </c>
      <c r="CR36">
        <f t="shared" si="43"/>
        <v>1.0523185327437626E-5</v>
      </c>
      <c r="CS36">
        <f t="shared" si="44"/>
        <v>3.7325794901895066E-4</v>
      </c>
      <c r="CT36">
        <f t="shared" si="45"/>
        <v>9.546157309304747E-4</v>
      </c>
    </row>
    <row r="37" spans="1:98" x14ac:dyDescent="0.25">
      <c r="A37" s="14"/>
      <c r="B37" s="11"/>
      <c r="C37" s="1" t="s">
        <v>34</v>
      </c>
      <c r="D37" s="1">
        <v>1.20508288</v>
      </c>
      <c r="E37" s="1">
        <v>3.1382566700000001</v>
      </c>
      <c r="F37" s="1">
        <v>9.3346499999999999E-3</v>
      </c>
      <c r="G37" s="1">
        <v>15.5631193</v>
      </c>
      <c r="H37" s="1">
        <v>9.8190559999999996E-2</v>
      </c>
      <c r="I37" s="1">
        <v>0.12271492000000001</v>
      </c>
      <c r="J37" s="1">
        <v>6.2818689999999996E-2</v>
      </c>
      <c r="K37" s="1">
        <v>8.8682381199999991</v>
      </c>
      <c r="L37" s="1">
        <v>0.17831785</v>
      </c>
      <c r="M37" s="1">
        <v>81.890594719999996</v>
      </c>
      <c r="N37" s="1">
        <v>2.4966976700000001</v>
      </c>
      <c r="O37" s="1">
        <v>23.210851219999999</v>
      </c>
      <c r="P37" s="1">
        <v>6.3125522099999998</v>
      </c>
      <c r="Q37" s="1">
        <v>1.0461786900000001</v>
      </c>
      <c r="R37" s="1">
        <v>8.6780685500000008</v>
      </c>
      <c r="S37" s="1">
        <v>31.362843770000001</v>
      </c>
      <c r="T37" s="1">
        <v>49.058670710000001</v>
      </c>
      <c r="U37" s="1">
        <v>78.392938999999998</v>
      </c>
      <c r="V37" s="1">
        <v>3.4799900000000001E-3</v>
      </c>
      <c r="W37" s="1">
        <v>0.14180118999999999</v>
      </c>
      <c r="X37" s="1">
        <v>13.02566648</v>
      </c>
      <c r="Y37" s="1">
        <v>2.0860670000000001E-2</v>
      </c>
      <c r="Z37" s="1">
        <v>1.6687171700000001</v>
      </c>
      <c r="AA37" s="1">
        <v>1.5090819600000001</v>
      </c>
      <c r="AB37" s="1">
        <v>34.989608769999997</v>
      </c>
      <c r="AC37" s="1">
        <v>20.140385370000001</v>
      </c>
      <c r="AD37" s="1">
        <v>4.9090800400000001</v>
      </c>
      <c r="AE37" s="1">
        <v>13.68543489</v>
      </c>
      <c r="AF37" s="1">
        <v>1.8406180000000001E-2</v>
      </c>
      <c r="AG37" s="1">
        <v>2.7891E-4</v>
      </c>
      <c r="AH37" s="1">
        <v>26.30057648</v>
      </c>
      <c r="AI37" s="1">
        <v>5.1009402000000001</v>
      </c>
      <c r="AJ37" s="1">
        <v>8.4938811399999992</v>
      </c>
      <c r="AK37" s="1">
        <v>36.143918159999998</v>
      </c>
      <c r="AL37" s="1">
        <v>25.836255959999999</v>
      </c>
      <c r="AM37" s="1">
        <v>88.143429589999997</v>
      </c>
      <c r="AN37" s="1">
        <v>3.5535108900000001</v>
      </c>
      <c r="AO37" s="1">
        <v>23.40102211</v>
      </c>
      <c r="AP37" s="1">
        <v>1.1351796999999999</v>
      </c>
      <c r="AQ37" s="1">
        <v>0.33191084999999998</v>
      </c>
      <c r="AR37" s="1">
        <v>1.2177917300000001</v>
      </c>
      <c r="AS37" s="1">
        <v>1.2774096699999999</v>
      </c>
      <c r="AT37" s="4">
        <v>2321.4416046900001</v>
      </c>
      <c r="AU37" s="1">
        <v>0</v>
      </c>
      <c r="AV37" s="1">
        <v>3031.4550760900001</v>
      </c>
      <c r="AW37" s="1">
        <v>549.90729444999999</v>
      </c>
      <c r="AX37" s="1">
        <v>160.10617696</v>
      </c>
      <c r="AY37" s="4">
        <v>3057.2913320600001</v>
      </c>
      <c r="BB37" s="18"/>
      <c r="BC37">
        <f t="shared" si="1"/>
        <v>3654.19917437</v>
      </c>
      <c r="BD37" s="1" t="s">
        <v>34</v>
      </c>
      <c r="BE37">
        <f t="shared" si="4"/>
        <v>3.2978029453136241E-4</v>
      </c>
      <c r="BF37">
        <f t="shared" si="5"/>
        <v>8.5880832440969764E-4</v>
      </c>
      <c r="BG37">
        <f t="shared" si="6"/>
        <v>2.5544995098985907E-6</v>
      </c>
      <c r="BH37">
        <f t="shared" si="7"/>
        <v>4.2589685338329025E-3</v>
      </c>
      <c r="BI37">
        <f t="shared" si="8"/>
        <v>2.6870609760051867E-5</v>
      </c>
      <c r="BJ37">
        <f t="shared" si="9"/>
        <v>3.3581891447161358E-5</v>
      </c>
      <c r="BK37">
        <f t="shared" si="10"/>
        <v>1.719082266795986E-5</v>
      </c>
      <c r="BL37">
        <f t="shared" si="11"/>
        <v>2.4268622745581246E-3</v>
      </c>
      <c r="BM37">
        <f t="shared" si="12"/>
        <v>4.8798065319125023E-5</v>
      </c>
      <c r="BN37">
        <f t="shared" si="13"/>
        <v>2.2409997597932874E-2</v>
      </c>
      <c r="BO37">
        <f t="shared" si="14"/>
        <v>6.832407186536135E-4</v>
      </c>
      <c r="BP37">
        <f t="shared" si="15"/>
        <v>6.3518298024906241E-3</v>
      </c>
      <c r="BQ37">
        <f t="shared" si="16"/>
        <v>1.7274789656445892E-3</v>
      </c>
      <c r="BR37">
        <f t="shared" si="17"/>
        <v>2.8629492813028338E-4</v>
      </c>
      <c r="BS37">
        <f t="shared" si="18"/>
        <v>2.3748208939640345E-3</v>
      </c>
      <c r="BT37">
        <f t="shared" si="19"/>
        <v>8.5826859110401648E-3</v>
      </c>
      <c r="BU37">
        <f t="shared" si="20"/>
        <v>1.3425286463335139E-2</v>
      </c>
      <c r="BV37">
        <f t="shared" si="21"/>
        <v>2.1452836930684078E-2</v>
      </c>
      <c r="BW37">
        <f t="shared" si="22"/>
        <v>9.5232630569458914E-7</v>
      </c>
      <c r="BX37">
        <f t="shared" si="23"/>
        <v>3.880499754763563E-5</v>
      </c>
      <c r="BY37">
        <f t="shared" si="24"/>
        <v>3.5645748516829772E-3</v>
      </c>
      <c r="BZ37">
        <f t="shared" si="25"/>
        <v>5.7086844489248376E-6</v>
      </c>
      <c r="CA37">
        <f t="shared" si="26"/>
        <v>4.5665742078432114E-4</v>
      </c>
      <c r="CB37">
        <f t="shared" si="27"/>
        <v>4.1297200507965534E-4</v>
      </c>
      <c r="CC37">
        <f t="shared" si="28"/>
        <v>9.5751783360392105E-3</v>
      </c>
      <c r="CD37">
        <f t="shared" si="29"/>
        <v>5.5115729627606552E-3</v>
      </c>
      <c r="CE37">
        <f t="shared" si="30"/>
        <v>1.3434079002676003E-3</v>
      </c>
      <c r="CF37">
        <f t="shared" si="31"/>
        <v>3.7451256039866599E-3</v>
      </c>
      <c r="CG37">
        <f t="shared" si="32"/>
        <v>5.0369941871527315E-6</v>
      </c>
      <c r="CH37">
        <f t="shared" si="33"/>
        <v>7.6325888844875378E-8</v>
      </c>
      <c r="CI37">
        <f t="shared" si="34"/>
        <v>7.1973571294274988E-3</v>
      </c>
      <c r="CJ37">
        <f t="shared" si="35"/>
        <v>1.3959119239523731E-3</v>
      </c>
      <c r="CK37">
        <f t="shared" si="36"/>
        <v>2.3244165779399209E-3</v>
      </c>
      <c r="CL37">
        <f t="shared" si="37"/>
        <v>9.8910640704830671E-3</v>
      </c>
      <c r="CM37">
        <f t="shared" si="38"/>
        <v>7.070292211002506E-3</v>
      </c>
      <c r="CN37">
        <f t="shared" si="39"/>
        <v>2.4121134449436876E-2</v>
      </c>
      <c r="CO37">
        <f t="shared" si="40"/>
        <v>9.7244586855686126E-4</v>
      </c>
      <c r="CP37">
        <f t="shared" si="41"/>
        <v>6.4038715443129716E-3</v>
      </c>
      <c r="CQ37">
        <f t="shared" si="42"/>
        <v>3.1065074612297502E-4</v>
      </c>
      <c r="CR37">
        <f t="shared" si="43"/>
        <v>9.0829983304679292E-5</v>
      </c>
      <c r="CS37">
        <f t="shared" si="44"/>
        <v>3.3325817009138608E-4</v>
      </c>
      <c r="CT37">
        <f t="shared" si="45"/>
        <v>3.4957308264956053E-4</v>
      </c>
    </row>
    <row r="38" spans="1:98" x14ac:dyDescent="0.25">
      <c r="A38" s="14"/>
      <c r="B38" s="11"/>
      <c r="C38" s="1" t="s">
        <v>35</v>
      </c>
      <c r="D38" s="1">
        <v>0</v>
      </c>
      <c r="E38" s="1">
        <v>82.461721330000003</v>
      </c>
      <c r="F38" s="1">
        <v>2.5888410000000001E-2</v>
      </c>
      <c r="G38" s="1">
        <v>26.283960530000002</v>
      </c>
      <c r="H38" s="1">
        <v>12.57582449</v>
      </c>
      <c r="I38" s="1">
        <v>10.703197319999999</v>
      </c>
      <c r="J38" s="1">
        <v>63.041619849999996</v>
      </c>
      <c r="K38" s="1">
        <v>86.393392879999993</v>
      </c>
      <c r="L38" s="1">
        <v>121.73539319</v>
      </c>
      <c r="M38" s="1">
        <v>153.29364228</v>
      </c>
      <c r="N38" s="1">
        <v>23.847449449999999</v>
      </c>
      <c r="O38" s="1">
        <v>264.63446071999999</v>
      </c>
      <c r="P38" s="1">
        <v>0.64640344999999999</v>
      </c>
      <c r="Q38" s="1">
        <v>33.67758104</v>
      </c>
      <c r="R38" s="1">
        <v>57.19041988</v>
      </c>
      <c r="S38" s="1">
        <v>209.97350653000001</v>
      </c>
      <c r="T38" s="1">
        <v>236.03061023999999</v>
      </c>
      <c r="U38" s="1">
        <v>213.68044452999999</v>
      </c>
      <c r="V38" s="1">
        <v>34.342964010000003</v>
      </c>
      <c r="W38" s="1">
        <v>9.5887284499999996</v>
      </c>
      <c r="X38" s="1">
        <v>9.4333214200000004</v>
      </c>
      <c r="Y38" s="1">
        <v>0.48237391000000002</v>
      </c>
      <c r="Z38" s="1">
        <v>3.9695175100000002</v>
      </c>
      <c r="AA38" s="1">
        <v>3.0529419999999998</v>
      </c>
      <c r="AB38" s="1">
        <v>239.74158736999999</v>
      </c>
      <c r="AC38" s="1">
        <v>281.29920256999998</v>
      </c>
      <c r="AD38" s="1">
        <v>229.21173268000001</v>
      </c>
      <c r="AE38" s="1">
        <v>21.124302440000001</v>
      </c>
      <c r="AF38" s="1">
        <v>5.6597260499999997</v>
      </c>
      <c r="AG38" s="1">
        <v>0</v>
      </c>
      <c r="AH38" s="1">
        <v>226.40533675</v>
      </c>
      <c r="AI38" s="1">
        <v>115.96151643</v>
      </c>
      <c r="AJ38" s="1">
        <v>28.116431209999998</v>
      </c>
      <c r="AK38" s="1">
        <v>469.11178912000003</v>
      </c>
      <c r="AL38" s="1">
        <v>0</v>
      </c>
      <c r="AM38" s="1">
        <v>872.46682321000003</v>
      </c>
      <c r="AN38" s="1">
        <v>5.6966853000000004</v>
      </c>
      <c r="AO38" s="1">
        <v>61.631533930000003</v>
      </c>
      <c r="AP38" s="1">
        <v>4.8960595900000001</v>
      </c>
      <c r="AQ38" s="1">
        <v>0.68906548000000001</v>
      </c>
      <c r="AR38" s="1">
        <v>5.4551117199999997</v>
      </c>
      <c r="AS38" s="1">
        <v>3.85629394</v>
      </c>
      <c r="AT38" s="4">
        <v>113.79012</v>
      </c>
      <c r="AU38" s="1">
        <v>0</v>
      </c>
      <c r="AV38" s="1">
        <v>1882.82391072</v>
      </c>
      <c r="AW38" s="1">
        <v>1769.0156817899999</v>
      </c>
      <c r="AX38" s="1">
        <v>1.8108929999999999E-2</v>
      </c>
      <c r="AY38" s="4">
        <v>6794.4093170899996</v>
      </c>
      <c r="BB38" s="18"/>
      <c r="BC38">
        <f>SUM(D38:AS38)+AV38</f>
        <v>6111.2124719299991</v>
      </c>
      <c r="BD38" s="1" t="s">
        <v>35</v>
      </c>
      <c r="BE38">
        <f t="shared" si="4"/>
        <v>0</v>
      </c>
      <c r="BF38">
        <f t="shared" si="5"/>
        <v>1.3493512409978039E-2</v>
      </c>
      <c r="BG38">
        <f t="shared" si="6"/>
        <v>4.2362150095272517E-6</v>
      </c>
      <c r="BH38">
        <f t="shared" si="7"/>
        <v>4.300940386335347E-3</v>
      </c>
      <c r="BI38">
        <f t="shared" si="8"/>
        <v>2.0578280574866667E-3</v>
      </c>
      <c r="BJ38">
        <f t="shared" si="9"/>
        <v>1.7514032394000192E-3</v>
      </c>
      <c r="BK38">
        <f t="shared" si="10"/>
        <v>1.0315730330038853E-2</v>
      </c>
      <c r="BL38">
        <f t="shared" si="11"/>
        <v>1.413686617456386E-2</v>
      </c>
      <c r="BM38">
        <f t="shared" si="12"/>
        <v>1.9920006667932852E-2</v>
      </c>
      <c r="BN38">
        <f t="shared" si="13"/>
        <v>2.5083998140157597E-2</v>
      </c>
      <c r="BO38">
        <f t="shared" si="14"/>
        <v>3.9022451861289434E-3</v>
      </c>
      <c r="BP38">
        <f t="shared" si="15"/>
        <v>4.3303102606155185E-2</v>
      </c>
      <c r="BQ38">
        <f t="shared" si="16"/>
        <v>1.0577335560971872E-4</v>
      </c>
      <c r="BR38">
        <f t="shared" si="17"/>
        <v>5.5107854938259392E-3</v>
      </c>
      <c r="BS38">
        <f t="shared" si="18"/>
        <v>9.3582771246600981E-3</v>
      </c>
      <c r="BT38">
        <f t="shared" si="19"/>
        <v>3.4358731183778933E-2</v>
      </c>
      <c r="BU38">
        <f t="shared" si="20"/>
        <v>3.8622550160730788E-2</v>
      </c>
      <c r="BV38">
        <f t="shared" si="21"/>
        <v>3.4965310977400361E-2</v>
      </c>
      <c r="BW38">
        <f t="shared" si="22"/>
        <v>5.6196645375600979E-3</v>
      </c>
      <c r="BX38">
        <f t="shared" si="23"/>
        <v>1.5690386308842828E-3</v>
      </c>
      <c r="BY38">
        <f t="shared" si="24"/>
        <v>1.5436088113985728E-3</v>
      </c>
      <c r="BZ38">
        <f t="shared" si="25"/>
        <v>7.8932603344367139E-5</v>
      </c>
      <c r="CA38">
        <f t="shared" si="26"/>
        <v>6.4954663714161061E-4</v>
      </c>
      <c r="CB38">
        <f t="shared" si="27"/>
        <v>4.995640413457662E-4</v>
      </c>
      <c r="CC38">
        <f t="shared" si="28"/>
        <v>3.9229790891935151E-2</v>
      </c>
      <c r="CD38">
        <f t="shared" si="29"/>
        <v>4.603001513399551E-2</v>
      </c>
      <c r="CE38">
        <f t="shared" si="30"/>
        <v>3.7506752339705844E-2</v>
      </c>
      <c r="CF38">
        <f t="shared" si="31"/>
        <v>3.456646702602483E-3</v>
      </c>
      <c r="CG38">
        <f t="shared" si="32"/>
        <v>9.2612162905417455E-4</v>
      </c>
      <c r="CH38">
        <f t="shared" si="33"/>
        <v>0</v>
      </c>
      <c r="CI38">
        <f t="shared" si="34"/>
        <v>3.7047531531578103E-2</v>
      </c>
      <c r="CJ38">
        <f t="shared" si="35"/>
        <v>1.897520614160186E-2</v>
      </c>
      <c r="CK38">
        <f t="shared" si="36"/>
        <v>4.6007942514098956E-3</v>
      </c>
      <c r="CL38">
        <f t="shared" si="37"/>
        <v>7.6762474103906991E-2</v>
      </c>
      <c r="CM38">
        <f t="shared" si="38"/>
        <v>0</v>
      </c>
      <c r="CN38">
        <f t="shared" si="39"/>
        <v>0.14276493039923122</v>
      </c>
      <c r="CO38">
        <f t="shared" si="40"/>
        <v>9.321694060165632E-4</v>
      </c>
      <c r="CP38">
        <f t="shared" si="41"/>
        <v>1.008499282476035E-2</v>
      </c>
      <c r="CQ38">
        <f t="shared" si="42"/>
        <v>8.0116009916011998E-4</v>
      </c>
      <c r="CR38">
        <f t="shared" si="43"/>
        <v>1.1275429927612782E-4</v>
      </c>
      <c r="CS38">
        <f t="shared" si="44"/>
        <v>8.926398394846196E-4</v>
      </c>
      <c r="CT38">
        <f t="shared" si="45"/>
        <v>6.3101945116664107E-4</v>
      </c>
    </row>
    <row r="39" spans="1:98" x14ac:dyDescent="0.25">
      <c r="A39" s="14"/>
      <c r="B39" s="11"/>
      <c r="C39" s="1" t="s">
        <v>36</v>
      </c>
      <c r="D39" s="1">
        <v>0</v>
      </c>
      <c r="E39" s="1">
        <v>1.1557501400000001</v>
      </c>
      <c r="F39" s="1">
        <v>5.0897409999999997E-2</v>
      </c>
      <c r="G39" s="1">
        <v>14.397598479999999</v>
      </c>
      <c r="H39" s="1">
        <v>3.9737601300000001</v>
      </c>
      <c r="I39" s="1">
        <v>6.2939184099999999</v>
      </c>
      <c r="J39" s="1">
        <v>6.0247783899999998</v>
      </c>
      <c r="K39" s="1">
        <v>2.6823705599999998</v>
      </c>
      <c r="L39" s="1">
        <v>17.981024059999999</v>
      </c>
      <c r="M39" s="1">
        <v>84.015003710000002</v>
      </c>
      <c r="N39" s="1">
        <v>0.74193134000000005</v>
      </c>
      <c r="O39" s="1">
        <v>13.66320786</v>
      </c>
      <c r="P39" s="1">
        <v>1.5729337299999999</v>
      </c>
      <c r="Q39" s="1">
        <v>5.0748802800000004</v>
      </c>
      <c r="R39" s="1">
        <v>7.0003961600000002</v>
      </c>
      <c r="S39" s="1">
        <v>12.5402319</v>
      </c>
      <c r="T39" s="1">
        <v>3.0092106900000002</v>
      </c>
      <c r="U39" s="1">
        <v>7.1469271900000004</v>
      </c>
      <c r="V39" s="1">
        <v>4.3770032299999997</v>
      </c>
      <c r="W39" s="1">
        <v>4.1269306200000004</v>
      </c>
      <c r="X39" s="1">
        <v>45.243826929999997</v>
      </c>
      <c r="Y39" s="1">
        <v>1.64714037</v>
      </c>
      <c r="Z39" s="1">
        <v>2.8895722799999999</v>
      </c>
      <c r="AA39" s="1">
        <v>5.8324770900000003</v>
      </c>
      <c r="AB39" s="1">
        <v>34.084796429999997</v>
      </c>
      <c r="AC39" s="1">
        <v>37.32970564</v>
      </c>
      <c r="AD39" s="1">
        <v>6.6692242500000001</v>
      </c>
      <c r="AE39" s="1">
        <v>127.96591347</v>
      </c>
      <c r="AF39" s="1">
        <v>7.2699258599999999</v>
      </c>
      <c r="AG39" s="1">
        <v>0</v>
      </c>
      <c r="AH39" s="1">
        <v>15.851901120000001</v>
      </c>
      <c r="AI39" s="1">
        <v>69.139028789999998</v>
      </c>
      <c r="AJ39" s="1">
        <v>6.1849967100000001</v>
      </c>
      <c r="AK39" s="1">
        <v>50.297702469999997</v>
      </c>
      <c r="AL39" s="1">
        <v>0</v>
      </c>
      <c r="AM39" s="1">
        <v>5.9701234899999998</v>
      </c>
      <c r="AN39" s="1">
        <v>41.649614769999999</v>
      </c>
      <c r="AO39" s="1">
        <v>91.464962240000006</v>
      </c>
      <c r="AP39" s="1">
        <v>0.86905275000000004</v>
      </c>
      <c r="AQ39" s="1">
        <v>0.38813934999999999</v>
      </c>
      <c r="AR39" s="1">
        <v>0.57632812</v>
      </c>
      <c r="AS39" s="1">
        <v>1.0947642200000001</v>
      </c>
      <c r="AT39" s="4">
        <v>0</v>
      </c>
      <c r="AU39" s="1">
        <v>0</v>
      </c>
      <c r="AV39" s="1">
        <v>1017.28005125</v>
      </c>
      <c r="AW39" s="1">
        <v>1012.15612054</v>
      </c>
      <c r="AX39" s="1">
        <v>5.1239307099999998</v>
      </c>
      <c r="AY39" s="4">
        <v>1504.6677802500001</v>
      </c>
      <c r="BB39" s="18"/>
      <c r="BC39">
        <f t="shared" si="1"/>
        <v>1765.52800189</v>
      </c>
      <c r="BD39" s="1" t="s">
        <v>36</v>
      </c>
      <c r="BE39">
        <f t="shared" si="4"/>
        <v>0</v>
      </c>
      <c r="BF39">
        <f t="shared" si="5"/>
        <v>6.546201129422858E-4</v>
      </c>
      <c r="BG39">
        <f t="shared" si="6"/>
        <v>2.882843542867304E-5</v>
      </c>
      <c r="BH39">
        <f t="shared" si="7"/>
        <v>8.154840061776053E-3</v>
      </c>
      <c r="BI39">
        <f t="shared" si="8"/>
        <v>2.2507488557225288E-3</v>
      </c>
      <c r="BJ39">
        <f t="shared" si="9"/>
        <v>3.5648929970311157E-3</v>
      </c>
      <c r="BK39">
        <f t="shared" si="10"/>
        <v>3.4124513366825485E-3</v>
      </c>
      <c r="BL39">
        <f t="shared" si="11"/>
        <v>1.519302190125854E-3</v>
      </c>
      <c r="BM39">
        <f t="shared" si="12"/>
        <v>1.0184502336270673E-2</v>
      </c>
      <c r="BN39">
        <f t="shared" si="13"/>
        <v>4.7586333164957924E-2</v>
      </c>
      <c r="BO39">
        <f t="shared" si="14"/>
        <v>4.2023198680834377E-4</v>
      </c>
      <c r="BP39">
        <f t="shared" si="15"/>
        <v>7.7388791598737138E-3</v>
      </c>
      <c r="BQ39">
        <f t="shared" si="16"/>
        <v>8.9091406554649502E-4</v>
      </c>
      <c r="BR39">
        <f t="shared" si="17"/>
        <v>2.8744263894808432E-3</v>
      </c>
      <c r="BS39">
        <f t="shared" si="18"/>
        <v>3.9650439712686893E-3</v>
      </c>
      <c r="BT39">
        <f t="shared" si="19"/>
        <v>7.1028224341815396E-3</v>
      </c>
      <c r="BU39">
        <f t="shared" si="20"/>
        <v>1.7044253542162096E-3</v>
      </c>
      <c r="BV39">
        <f t="shared" si="21"/>
        <v>4.0480395566364312E-3</v>
      </c>
      <c r="BW39">
        <f t="shared" si="22"/>
        <v>2.479146875786967E-3</v>
      </c>
      <c r="BX39">
        <f t="shared" si="23"/>
        <v>2.3375050498106605E-3</v>
      </c>
      <c r="BY39">
        <f t="shared" si="24"/>
        <v>2.5626230159797196E-2</v>
      </c>
      <c r="BZ39">
        <f t="shared" si="25"/>
        <v>9.3294491406351759E-4</v>
      </c>
      <c r="CA39">
        <f t="shared" si="26"/>
        <v>1.6366618240587004E-3</v>
      </c>
      <c r="CB39">
        <f t="shared" si="27"/>
        <v>3.3035313423272392E-3</v>
      </c>
      <c r="CC39">
        <f t="shared" si="28"/>
        <v>1.9305724063006749E-2</v>
      </c>
      <c r="CD39">
        <f t="shared" si="29"/>
        <v>2.1143649718406335E-2</v>
      </c>
      <c r="CE39">
        <f t="shared" si="30"/>
        <v>3.777467274866548E-3</v>
      </c>
      <c r="CF39">
        <f t="shared" si="31"/>
        <v>7.2480251422244402E-2</v>
      </c>
      <c r="CG39">
        <f t="shared" si="32"/>
        <v>4.117706347459533E-3</v>
      </c>
      <c r="CH39">
        <f t="shared" si="33"/>
        <v>0</v>
      </c>
      <c r="CI39">
        <f t="shared" si="34"/>
        <v>8.9785611460313965E-3</v>
      </c>
      <c r="CJ39">
        <f t="shared" si="35"/>
        <v>3.916053934912761E-2</v>
      </c>
      <c r="CK39">
        <f t="shared" si="36"/>
        <v>3.503199441401639E-3</v>
      </c>
      <c r="CL39">
        <f t="shared" si="37"/>
        <v>2.8488759405773365E-2</v>
      </c>
      <c r="CM39">
        <f t="shared" si="38"/>
        <v>0</v>
      </c>
      <c r="CN39">
        <f t="shared" si="39"/>
        <v>3.3814946484048819E-3</v>
      </c>
      <c r="CO39">
        <f t="shared" si="40"/>
        <v>2.3590458336211054E-2</v>
      </c>
      <c r="CP39">
        <f t="shared" si="41"/>
        <v>5.1806010520414655E-2</v>
      </c>
      <c r="CQ39">
        <f t="shared" si="42"/>
        <v>4.9223390910236372E-4</v>
      </c>
      <c r="CR39">
        <f t="shared" si="43"/>
        <v>2.1984321380600949E-4</v>
      </c>
      <c r="CS39">
        <f t="shared" si="44"/>
        <v>3.2643385966296765E-4</v>
      </c>
      <c r="CT39">
        <f t="shared" si="45"/>
        <v>6.2007751722320667E-4</v>
      </c>
    </row>
    <row r="40" spans="1:98" x14ac:dyDescent="0.25">
      <c r="A40" s="14"/>
      <c r="B40" s="11"/>
      <c r="C40" s="1" t="s">
        <v>37</v>
      </c>
      <c r="D40" s="1">
        <v>0</v>
      </c>
      <c r="E40" s="1">
        <v>1.8572095099999999</v>
      </c>
      <c r="F40" s="1">
        <v>3.7341579999999999E-2</v>
      </c>
      <c r="G40" s="1">
        <v>93.549615660000001</v>
      </c>
      <c r="H40" s="1">
        <v>13.873844269999999</v>
      </c>
      <c r="I40" s="1">
        <v>21.318074809999999</v>
      </c>
      <c r="J40" s="1">
        <v>6.0365267899999999</v>
      </c>
      <c r="K40" s="1">
        <v>41.961418559999998</v>
      </c>
      <c r="L40" s="1">
        <v>28.298456259999998</v>
      </c>
      <c r="M40" s="1">
        <v>235.72188152999999</v>
      </c>
      <c r="N40" s="1">
        <v>0.30346392999999999</v>
      </c>
      <c r="O40" s="1">
        <v>77.765687869999994</v>
      </c>
      <c r="P40" s="1">
        <v>13.848486080000001</v>
      </c>
      <c r="Q40" s="1">
        <v>6.1283164799999996</v>
      </c>
      <c r="R40" s="1">
        <v>101.29757180999999</v>
      </c>
      <c r="S40" s="1">
        <v>90.653278520000001</v>
      </c>
      <c r="T40" s="1">
        <v>167.97313001000001</v>
      </c>
      <c r="U40" s="1">
        <v>9.8964395799999991</v>
      </c>
      <c r="V40" s="1">
        <v>43.063582320000002</v>
      </c>
      <c r="W40" s="1">
        <v>3.1977567200000001</v>
      </c>
      <c r="X40" s="1">
        <v>50.614751589999997</v>
      </c>
      <c r="Y40" s="1">
        <v>13.05039949</v>
      </c>
      <c r="Z40" s="1">
        <v>14.81871666</v>
      </c>
      <c r="AA40" s="1">
        <v>16.988669529999999</v>
      </c>
      <c r="AB40" s="1">
        <v>162.51460084000001</v>
      </c>
      <c r="AC40" s="1">
        <v>100.44179162</v>
      </c>
      <c r="AD40" s="1">
        <v>30.392620969999999</v>
      </c>
      <c r="AE40" s="1">
        <v>87.986134190000001</v>
      </c>
      <c r="AF40" s="1">
        <v>19.702863149999999</v>
      </c>
      <c r="AG40" s="1">
        <v>0</v>
      </c>
      <c r="AH40" s="1">
        <v>57.196378959999997</v>
      </c>
      <c r="AI40" s="1">
        <v>52.464878849999998</v>
      </c>
      <c r="AJ40" s="1">
        <v>185.65405263</v>
      </c>
      <c r="AK40" s="1">
        <v>163.16038567999999</v>
      </c>
      <c r="AL40" s="1">
        <v>0</v>
      </c>
      <c r="AM40" s="1">
        <v>4.4976467199999997</v>
      </c>
      <c r="AN40" s="1">
        <v>5.3343102699999996</v>
      </c>
      <c r="AO40" s="1">
        <v>194.26398395999999</v>
      </c>
      <c r="AP40" s="1">
        <v>6.0475411799999996</v>
      </c>
      <c r="AQ40" s="1">
        <v>1.5780524600000001</v>
      </c>
      <c r="AR40" s="1">
        <v>7.3567548800000004</v>
      </c>
      <c r="AS40" s="1">
        <v>1.43557314</v>
      </c>
      <c r="AT40" s="4">
        <v>0</v>
      </c>
      <c r="AU40" s="1">
        <v>0</v>
      </c>
      <c r="AV40" s="1">
        <v>2089.84965865</v>
      </c>
      <c r="AW40" s="1">
        <v>2087.5802763800002</v>
      </c>
      <c r="AX40" s="1">
        <v>2.2693822699999999</v>
      </c>
      <c r="AY40" s="4">
        <v>4925.1041626400001</v>
      </c>
      <c r="BB40" s="18"/>
      <c r="BC40">
        <f t="shared" si="1"/>
        <v>4222.1318477100003</v>
      </c>
      <c r="BD40" s="1" t="s">
        <v>37</v>
      </c>
      <c r="BE40">
        <f t="shared" si="4"/>
        <v>0</v>
      </c>
      <c r="BF40">
        <f t="shared" si="5"/>
        <v>4.39874825559347E-4</v>
      </c>
      <c r="BG40">
        <f t="shared" si="6"/>
        <v>8.8442477276623467E-6</v>
      </c>
      <c r="BH40">
        <f t="shared" si="7"/>
        <v>2.2156962177943221E-2</v>
      </c>
      <c r="BI40">
        <f t="shared" si="8"/>
        <v>3.2859808197427311E-3</v>
      </c>
      <c r="BJ40">
        <f t="shared" si="9"/>
        <v>5.0491257921190915E-3</v>
      </c>
      <c r="BK40">
        <f t="shared" si="10"/>
        <v>1.4297343161545489E-3</v>
      </c>
      <c r="BL40">
        <f t="shared" si="11"/>
        <v>9.938443438889534E-3</v>
      </c>
      <c r="BM40">
        <f t="shared" si="12"/>
        <v>6.7024094179693877E-3</v>
      </c>
      <c r="BN40">
        <f t="shared" si="13"/>
        <v>5.5830061692140387E-2</v>
      </c>
      <c r="BO40">
        <f t="shared" si="14"/>
        <v>7.1874574491223605E-5</v>
      </c>
      <c r="BP40">
        <f t="shared" si="15"/>
        <v>1.8418583472749328E-2</v>
      </c>
      <c r="BQ40">
        <f t="shared" si="16"/>
        <v>3.2799748040817679E-3</v>
      </c>
      <c r="BR40">
        <f t="shared" si="17"/>
        <v>1.4514744449119644E-3</v>
      </c>
      <c r="BS40">
        <f t="shared" si="18"/>
        <v>2.3992043702979519E-2</v>
      </c>
      <c r="BT40">
        <f t="shared" si="19"/>
        <v>2.1470972908903478E-2</v>
      </c>
      <c r="BU40">
        <f t="shared" si="20"/>
        <v>3.9783961294601745E-2</v>
      </c>
      <c r="BV40">
        <f t="shared" si="21"/>
        <v>2.3439437556569036E-3</v>
      </c>
      <c r="BW40">
        <f t="shared" si="22"/>
        <v>1.019948781167429E-2</v>
      </c>
      <c r="BX40">
        <f t="shared" si="23"/>
        <v>7.5737964500904897E-4</v>
      </c>
      <c r="BY40">
        <f t="shared" si="24"/>
        <v>1.1987960920133848E-2</v>
      </c>
      <c r="BZ40">
        <f t="shared" si="25"/>
        <v>3.0909502499497439E-3</v>
      </c>
      <c r="CA40">
        <f t="shared" si="26"/>
        <v>3.5097711759137446E-3</v>
      </c>
      <c r="CB40">
        <f t="shared" si="27"/>
        <v>4.0237183827440898E-3</v>
      </c>
      <c r="CC40">
        <f t="shared" si="28"/>
        <v>3.8491124081817735E-2</v>
      </c>
      <c r="CD40">
        <f t="shared" si="29"/>
        <v>2.3789354582680222E-2</v>
      </c>
      <c r="CE40">
        <f t="shared" si="30"/>
        <v>7.1984064132161922E-3</v>
      </c>
      <c r="CF40">
        <f t="shared" si="31"/>
        <v>2.0839267309409562E-2</v>
      </c>
      <c r="CG40">
        <f t="shared" si="32"/>
        <v>4.6665674736534905E-3</v>
      </c>
      <c r="CH40">
        <f t="shared" si="33"/>
        <v>0</v>
      </c>
      <c r="CI40">
        <f t="shared" si="34"/>
        <v>1.3546800768673808E-2</v>
      </c>
      <c r="CJ40">
        <f t="shared" si="35"/>
        <v>1.2426158334789071E-2</v>
      </c>
      <c r="CK40">
        <f t="shared" si="36"/>
        <v>4.3971637865997726E-2</v>
      </c>
      <c r="CL40">
        <f t="shared" si="37"/>
        <v>3.8644076396736615E-2</v>
      </c>
      <c r="CM40">
        <f t="shared" si="38"/>
        <v>0</v>
      </c>
      <c r="CN40">
        <f t="shared" si="39"/>
        <v>1.0652549191327203E-3</v>
      </c>
      <c r="CO40">
        <f t="shared" si="40"/>
        <v>1.2634163172552801E-3</v>
      </c>
      <c r="CP40">
        <f t="shared" si="41"/>
        <v>4.6010875777213085E-2</v>
      </c>
      <c r="CQ40">
        <f t="shared" si="42"/>
        <v>1.432343043308812E-3</v>
      </c>
      <c r="CR40">
        <f t="shared" si="43"/>
        <v>3.7375726692568924E-4</v>
      </c>
      <c r="CS40">
        <f t="shared" si="44"/>
        <v>1.7424266094366893E-3</v>
      </c>
      <c r="CT40">
        <f t="shared" si="45"/>
        <v>3.4001144250827366E-4</v>
      </c>
    </row>
    <row r="41" spans="1:98" x14ac:dyDescent="0.25">
      <c r="A41" s="14"/>
      <c r="B41" s="11"/>
      <c r="C41" s="1" t="s">
        <v>38</v>
      </c>
      <c r="D41" s="1">
        <v>0</v>
      </c>
      <c r="E41" s="1">
        <v>12.23665372</v>
      </c>
      <c r="F41" s="1">
        <v>0.35636606999999998</v>
      </c>
      <c r="G41" s="1">
        <v>102.63462126</v>
      </c>
      <c r="H41" s="1">
        <v>10.342738049999999</v>
      </c>
      <c r="I41" s="1">
        <v>3.6827282700000001</v>
      </c>
      <c r="J41" s="1">
        <v>0.63434106000000001</v>
      </c>
      <c r="K41" s="1">
        <v>134.77376082999999</v>
      </c>
      <c r="L41" s="1">
        <v>11.89938944</v>
      </c>
      <c r="M41" s="1">
        <v>22.138527750000002</v>
      </c>
      <c r="N41" s="1">
        <v>0.69976090999999996</v>
      </c>
      <c r="O41" s="1">
        <v>15.142617700000001</v>
      </c>
      <c r="P41" s="1">
        <v>4.5990085699999996</v>
      </c>
      <c r="Q41" s="1">
        <v>0.18865012</v>
      </c>
      <c r="R41" s="1">
        <v>2.6608168999999999</v>
      </c>
      <c r="S41" s="1">
        <v>0.43677492000000001</v>
      </c>
      <c r="T41" s="1">
        <v>25.680752600000002</v>
      </c>
      <c r="U41" s="1">
        <v>53.293577569999997</v>
      </c>
      <c r="V41" s="1">
        <v>9.3602809999999995E-2</v>
      </c>
      <c r="W41" s="1">
        <v>6.9607607600000003</v>
      </c>
      <c r="X41" s="1">
        <v>63.58306597</v>
      </c>
      <c r="Y41" s="1">
        <v>1.9138329999999999E-2</v>
      </c>
      <c r="Z41" s="1">
        <v>17.276191879999999</v>
      </c>
      <c r="AA41" s="1">
        <v>14.215460309999999</v>
      </c>
      <c r="AB41" s="1">
        <v>79.61321615</v>
      </c>
      <c r="AC41" s="1">
        <v>110.04507078</v>
      </c>
      <c r="AD41" s="1">
        <v>143.80066321000001</v>
      </c>
      <c r="AE41" s="1">
        <v>77.260162260000001</v>
      </c>
      <c r="AF41" s="1">
        <v>0.14873750999999999</v>
      </c>
      <c r="AG41" s="1">
        <v>0</v>
      </c>
      <c r="AH41" s="1">
        <v>106.47999182</v>
      </c>
      <c r="AI41" s="1">
        <v>139.48188296000001</v>
      </c>
      <c r="AJ41" s="1">
        <v>111.79857524000001</v>
      </c>
      <c r="AK41" s="1">
        <v>170.89697240999999</v>
      </c>
      <c r="AL41" s="1">
        <v>0</v>
      </c>
      <c r="AM41" s="1">
        <v>12.80692713</v>
      </c>
      <c r="AN41" s="1">
        <v>6.5495622400000002</v>
      </c>
      <c r="AO41" s="1">
        <v>84.178735029999999</v>
      </c>
      <c r="AP41" s="1">
        <v>109.38987091</v>
      </c>
      <c r="AQ41" s="1">
        <v>0.27561480999999999</v>
      </c>
      <c r="AR41" s="1">
        <v>24.86261992</v>
      </c>
      <c r="AS41" s="1">
        <v>3.4136255200000001</v>
      </c>
      <c r="AT41" s="4">
        <v>0</v>
      </c>
      <c r="AU41" s="1">
        <v>0</v>
      </c>
      <c r="AV41" s="1">
        <v>6079.2003176199996</v>
      </c>
      <c r="AW41" s="1">
        <v>6073.9586715200003</v>
      </c>
      <c r="AX41" s="1">
        <v>5.2416460999999996</v>
      </c>
      <c r="AY41" s="4">
        <v>6347.57435592</v>
      </c>
      <c r="BB41" s="18"/>
      <c r="BC41">
        <f t="shared" si="1"/>
        <v>7763.7518513199993</v>
      </c>
      <c r="BD41" s="1" t="s">
        <v>38</v>
      </c>
      <c r="BE41">
        <f t="shared" si="4"/>
        <v>0</v>
      </c>
      <c r="BF41">
        <f t="shared" si="5"/>
        <v>1.5761263309722493E-3</v>
      </c>
      <c r="BG41">
        <f t="shared" si="6"/>
        <v>4.5901270007671657E-5</v>
      </c>
      <c r="BH41">
        <f t="shared" si="7"/>
        <v>1.3219719437909389E-2</v>
      </c>
      <c r="BI41">
        <f t="shared" si="8"/>
        <v>1.3321829764872662E-3</v>
      </c>
      <c r="BJ41">
        <f t="shared" si="9"/>
        <v>4.7434904418974436E-4</v>
      </c>
      <c r="BK41">
        <f t="shared" si="10"/>
        <v>8.170547850420397E-5</v>
      </c>
      <c r="BL41">
        <f t="shared" si="11"/>
        <v>1.7359359676995041E-2</v>
      </c>
      <c r="BM41">
        <f t="shared" si="12"/>
        <v>1.5326854422809582E-3</v>
      </c>
      <c r="BN41">
        <f t="shared" si="13"/>
        <v>2.8515243884612296E-3</v>
      </c>
      <c r="BO41">
        <f t="shared" si="14"/>
        <v>9.013179753820004E-5</v>
      </c>
      <c r="BP41">
        <f t="shared" si="15"/>
        <v>1.9504252570135198E-3</v>
      </c>
      <c r="BQ41">
        <f t="shared" si="16"/>
        <v>5.9236934127641807E-4</v>
      </c>
      <c r="BR41">
        <f t="shared" si="17"/>
        <v>2.4298834328138085E-5</v>
      </c>
      <c r="BS41">
        <f t="shared" si="18"/>
        <v>3.4272307396682259E-4</v>
      </c>
      <c r="BT41">
        <f>S41/$BC41</f>
        <v>5.6258227769830018E-5</v>
      </c>
      <c r="BU41">
        <f t="shared" si="20"/>
        <v>3.307776071646821E-3</v>
      </c>
      <c r="BV41">
        <f t="shared" si="21"/>
        <v>6.8644102220937137E-3</v>
      </c>
      <c r="BW41">
        <f t="shared" si="22"/>
        <v>1.205638868842589E-5</v>
      </c>
      <c r="BX41">
        <f t="shared" si="23"/>
        <v>8.9657177268185435E-4</v>
      </c>
      <c r="BY41">
        <f t="shared" si="24"/>
        <v>8.189734446392637E-3</v>
      </c>
      <c r="BZ41">
        <f t="shared" si="25"/>
        <v>2.4650878037460825E-6</v>
      </c>
      <c r="CA41">
        <f t="shared" si="26"/>
        <v>2.2252375154240261E-3</v>
      </c>
      <c r="CB41">
        <f t="shared" si="27"/>
        <v>1.8310039504396416E-3</v>
      </c>
      <c r="CC41">
        <f t="shared" si="28"/>
        <v>1.0254477174777822E-2</v>
      </c>
      <c r="CD41">
        <f t="shared" si="29"/>
        <v>1.4174212788793611E-2</v>
      </c>
      <c r="CE41">
        <f t="shared" si="30"/>
        <v>1.8522058144549134E-2</v>
      </c>
      <c r="CF41">
        <f t="shared" si="31"/>
        <v>9.9513951166360585E-3</v>
      </c>
      <c r="CG41">
        <f t="shared" si="32"/>
        <v>1.9157942300115056E-5</v>
      </c>
      <c r="CH41">
        <f t="shared" si="33"/>
        <v>0</v>
      </c>
      <c r="CI41">
        <f t="shared" si="34"/>
        <v>1.3715017411574815E-2</v>
      </c>
      <c r="CJ41">
        <f t="shared" si="35"/>
        <v>1.7965783249020921E-2</v>
      </c>
      <c r="CK41">
        <f t="shared" si="36"/>
        <v>1.4400070659264042E-2</v>
      </c>
      <c r="CL41">
        <f t="shared" si="37"/>
        <v>2.2012163150338705E-2</v>
      </c>
      <c r="CM41">
        <f t="shared" si="38"/>
        <v>0</v>
      </c>
      <c r="CN41">
        <f t="shared" si="39"/>
        <v>1.6495796588118096E-3</v>
      </c>
      <c r="CO41">
        <f t="shared" si="40"/>
        <v>8.4360787998220713E-4</v>
      </c>
      <c r="CP41">
        <f t="shared" si="41"/>
        <v>1.084253291991653E-2</v>
      </c>
      <c r="CQ41">
        <f t="shared" si="42"/>
        <v>1.4089820618287979E-2</v>
      </c>
      <c r="CR41">
        <f t="shared" si="43"/>
        <v>3.55002085690232E-5</v>
      </c>
      <c r="CS41">
        <f t="shared" si="44"/>
        <v>3.2023975516132495E-3</v>
      </c>
      <c r="CT41">
        <f t="shared" si="45"/>
        <v>4.396876130732608E-4</v>
      </c>
    </row>
    <row r="42" spans="1:98" x14ac:dyDescent="0.25">
      <c r="A42" s="14"/>
      <c r="B42" s="11"/>
      <c r="C42" s="1" t="s">
        <v>39</v>
      </c>
      <c r="D42" s="1">
        <v>0</v>
      </c>
      <c r="E42" s="1">
        <v>1.4993663500000001</v>
      </c>
      <c r="F42" s="1">
        <v>6.3823899999999999E-3</v>
      </c>
      <c r="G42" s="1">
        <v>84.801221659999996</v>
      </c>
      <c r="H42" s="1">
        <v>61.79934823</v>
      </c>
      <c r="I42" s="1">
        <v>16.918544099999998</v>
      </c>
      <c r="J42" s="1">
        <v>3.90012516</v>
      </c>
      <c r="K42" s="1">
        <v>25.681084349999999</v>
      </c>
      <c r="L42" s="1">
        <v>3.4206563000000001</v>
      </c>
      <c r="M42" s="1">
        <v>1290.6916747499999</v>
      </c>
      <c r="N42" s="1">
        <v>1.8500599999999999E-3</v>
      </c>
      <c r="O42" s="1">
        <v>14.147127749999999</v>
      </c>
      <c r="P42" s="1">
        <v>0.17407095</v>
      </c>
      <c r="Q42" s="1">
        <v>191.00171216000001</v>
      </c>
      <c r="R42" s="1">
        <v>5.89784416</v>
      </c>
      <c r="S42" s="1">
        <v>3.93290958</v>
      </c>
      <c r="T42" s="1">
        <v>14.19755292</v>
      </c>
      <c r="U42" s="1">
        <v>8.7900131199999993</v>
      </c>
      <c r="V42" s="1">
        <v>1.3291765099999999</v>
      </c>
      <c r="W42" s="1">
        <v>2.17561581</v>
      </c>
      <c r="X42" s="1">
        <v>47.561143389999998</v>
      </c>
      <c r="Y42" s="1">
        <v>0.75906558999999996</v>
      </c>
      <c r="Z42" s="1">
        <v>8.1792300000000004</v>
      </c>
      <c r="AA42" s="1">
        <v>8.0026057799999997</v>
      </c>
      <c r="AB42" s="1">
        <v>431.51471365999998</v>
      </c>
      <c r="AC42" s="1">
        <v>158.83368639</v>
      </c>
      <c r="AD42" s="1">
        <v>24.312368920000001</v>
      </c>
      <c r="AE42" s="1">
        <v>25.06027843</v>
      </c>
      <c r="AF42" s="1">
        <v>0.42205730000000002</v>
      </c>
      <c r="AG42" s="1">
        <v>0</v>
      </c>
      <c r="AH42" s="1">
        <v>109.91560439</v>
      </c>
      <c r="AI42" s="1">
        <v>54.42854561</v>
      </c>
      <c r="AJ42" s="1">
        <v>29.66096392</v>
      </c>
      <c r="AK42" s="1">
        <v>68.833322109999997</v>
      </c>
      <c r="AL42" s="1">
        <v>0</v>
      </c>
      <c r="AM42" s="1">
        <v>5.1445895200000002</v>
      </c>
      <c r="AN42" s="1">
        <v>5.3014947699999997</v>
      </c>
      <c r="AO42" s="1">
        <v>102.92174278</v>
      </c>
      <c r="AP42" s="1">
        <v>21.53537158</v>
      </c>
      <c r="AQ42" s="1">
        <v>49.561405720000003</v>
      </c>
      <c r="AR42" s="1">
        <v>4.1314701899999999</v>
      </c>
      <c r="AS42" s="1">
        <v>1.2477314900000001</v>
      </c>
      <c r="AT42" s="4">
        <v>0</v>
      </c>
      <c r="AU42" s="1">
        <v>0</v>
      </c>
      <c r="AV42" s="1">
        <v>6139.7280572299996</v>
      </c>
      <c r="AW42" s="1">
        <v>6137.4553549700004</v>
      </c>
      <c r="AX42" s="1">
        <v>2.2727022699999999</v>
      </c>
      <c r="AY42" s="4">
        <v>6297.3195666399997</v>
      </c>
      <c r="BB42" s="18"/>
      <c r="BC42">
        <f t="shared" si="1"/>
        <v>9027.4217250799993</v>
      </c>
      <c r="BD42" s="1" t="s">
        <v>39</v>
      </c>
      <c r="BE42">
        <f t="shared" si="4"/>
        <v>0</v>
      </c>
      <c r="BF42">
        <f t="shared" si="5"/>
        <v>1.6609020777598745E-4</v>
      </c>
      <c r="BG42">
        <f t="shared" si="6"/>
        <v>7.070003146378365E-7</v>
      </c>
      <c r="BH42">
        <f t="shared" si="7"/>
        <v>9.3937365775662272E-3</v>
      </c>
      <c r="BI42">
        <f t="shared" si="8"/>
        <v>6.8457362591479399E-3</v>
      </c>
      <c r="BJ42">
        <f t="shared" si="9"/>
        <v>1.8741280307085764E-3</v>
      </c>
      <c r="BK42">
        <f t="shared" si="10"/>
        <v>4.3203090303897793E-4</v>
      </c>
      <c r="BL42">
        <f t="shared" si="11"/>
        <v>2.8447861562347046E-3</v>
      </c>
      <c r="BM42">
        <f t="shared" si="12"/>
        <v>3.7891841149912455E-4</v>
      </c>
      <c r="BN42">
        <f t="shared" si="13"/>
        <v>0.14297456284380711</v>
      </c>
      <c r="BO42">
        <f t="shared" si="14"/>
        <v>2.0493780575910837E-7</v>
      </c>
      <c r="BP42">
        <f t="shared" si="15"/>
        <v>1.5671282655042495E-3</v>
      </c>
      <c r="BQ42">
        <f t="shared" si="16"/>
        <v>1.9282465725113493E-5</v>
      </c>
      <c r="BR42">
        <f t="shared" si="17"/>
        <v>2.1157947194308947E-2</v>
      </c>
      <c r="BS42">
        <f t="shared" si="18"/>
        <v>6.5332542774805774E-4</v>
      </c>
      <c r="BT42">
        <f t="shared" si="19"/>
        <v>4.3566255125464931E-4</v>
      </c>
      <c r="BU42">
        <f t="shared" si="20"/>
        <v>1.5727140430978573E-3</v>
      </c>
      <c r="BV42">
        <f t="shared" si="21"/>
        <v>9.7370139422860559E-4</v>
      </c>
      <c r="BW42">
        <f t="shared" si="22"/>
        <v>1.4723766657619188E-4</v>
      </c>
      <c r="BX42">
        <f t="shared" si="23"/>
        <v>2.4100079471813091E-4</v>
      </c>
      <c r="BY42">
        <f t="shared" si="24"/>
        <v>5.2685190565392049E-3</v>
      </c>
      <c r="BZ42">
        <f t="shared" si="25"/>
        <v>8.4084427770906347E-5</v>
      </c>
      <c r="CA42">
        <f t="shared" si="26"/>
        <v>9.0604274942384148E-4</v>
      </c>
      <c r="CB42">
        <f t="shared" si="27"/>
        <v>8.8647744878996243E-4</v>
      </c>
      <c r="CC42">
        <f t="shared" si="28"/>
        <v>4.7800438131871591E-2</v>
      </c>
      <c r="CD42">
        <f t="shared" si="29"/>
        <v>1.7594579186295017E-2</v>
      </c>
      <c r="CE42">
        <f t="shared" si="30"/>
        <v>2.69316862116404E-3</v>
      </c>
      <c r="CF42">
        <f t="shared" si="31"/>
        <v>2.7760172497954196E-3</v>
      </c>
      <c r="CG42">
        <f t="shared" si="32"/>
        <v>4.6752806377422215E-5</v>
      </c>
      <c r="CH42">
        <f t="shared" si="33"/>
        <v>0</v>
      </c>
      <c r="CI42">
        <f t="shared" si="34"/>
        <v>1.2175747155428915E-2</v>
      </c>
      <c r="CJ42">
        <f t="shared" si="35"/>
        <v>6.0292459206582223E-3</v>
      </c>
      <c r="CK42">
        <f t="shared" si="36"/>
        <v>3.2856517423569408E-3</v>
      </c>
      <c r="CL42">
        <f t="shared" si="37"/>
        <v>7.6249148656439896E-3</v>
      </c>
      <c r="CM42">
        <f t="shared" si="38"/>
        <v>0</v>
      </c>
      <c r="CN42">
        <f t="shared" si="39"/>
        <v>5.6988469982600812E-4</v>
      </c>
      <c r="CO42">
        <f t="shared" si="40"/>
        <v>5.8726565917169651E-4</v>
      </c>
      <c r="CP42">
        <f t="shared" si="41"/>
        <v>1.1401011929470696E-2</v>
      </c>
      <c r="CQ42">
        <f t="shared" si="42"/>
        <v>2.3855506296078305E-3</v>
      </c>
      <c r="CR42">
        <f t="shared" si="43"/>
        <v>5.4900953150674699E-3</v>
      </c>
      <c r="CS42">
        <f t="shared" si="44"/>
        <v>4.576578247720434E-4</v>
      </c>
      <c r="CT42">
        <f t="shared" si="45"/>
        <v>1.3821570853763819E-4</v>
      </c>
    </row>
    <row r="43" spans="1:98" x14ac:dyDescent="0.25">
      <c r="A43" s="14"/>
      <c r="B43" s="11"/>
      <c r="C43" s="1" t="s">
        <v>40</v>
      </c>
      <c r="D43" s="1">
        <v>0</v>
      </c>
      <c r="E43" s="1">
        <v>0.66825137999999995</v>
      </c>
      <c r="F43" s="1">
        <v>2.2375949999999999E-2</v>
      </c>
      <c r="G43" s="1">
        <v>175.70920190999999</v>
      </c>
      <c r="H43" s="1">
        <v>1.8677632799999999</v>
      </c>
      <c r="I43" s="1">
        <v>75.998087130000002</v>
      </c>
      <c r="J43" s="1">
        <v>2.1478453700000002</v>
      </c>
      <c r="K43" s="1">
        <v>92.370989530000003</v>
      </c>
      <c r="L43" s="1">
        <v>7.2200374199999997</v>
      </c>
      <c r="M43" s="1">
        <v>19.907662989999999</v>
      </c>
      <c r="N43" s="1">
        <v>3.5589309999999999E-2</v>
      </c>
      <c r="O43" s="1">
        <v>4.8748318700000004</v>
      </c>
      <c r="P43" s="1">
        <v>1.8452127700000001</v>
      </c>
      <c r="Q43" s="1">
        <v>0.10759987</v>
      </c>
      <c r="R43" s="1">
        <v>1.0998361800000001</v>
      </c>
      <c r="S43" s="1">
        <v>1.1692020599999999</v>
      </c>
      <c r="T43" s="1">
        <v>9.0505668099999994</v>
      </c>
      <c r="U43" s="1">
        <v>1.8624656900000001</v>
      </c>
      <c r="V43" s="1">
        <v>2.7645478899999998</v>
      </c>
      <c r="W43" s="1">
        <v>3.5183153699999998</v>
      </c>
      <c r="X43" s="1">
        <v>24.234867900000001</v>
      </c>
      <c r="Y43" s="1">
        <v>1.09677661</v>
      </c>
      <c r="Z43" s="1">
        <v>3.1560486700000001</v>
      </c>
      <c r="AA43" s="1">
        <v>13.26098515</v>
      </c>
      <c r="AB43" s="1">
        <v>111.42677767000001</v>
      </c>
      <c r="AC43" s="1">
        <v>60.304535620000003</v>
      </c>
      <c r="AD43" s="1">
        <v>71.752203269999995</v>
      </c>
      <c r="AE43" s="1">
        <v>45.690254729999999</v>
      </c>
      <c r="AF43" s="1">
        <v>1.2776462399999999</v>
      </c>
      <c r="AG43" s="1">
        <v>0</v>
      </c>
      <c r="AH43" s="1">
        <v>86.455991650000001</v>
      </c>
      <c r="AI43" s="1">
        <v>42.694381069999999</v>
      </c>
      <c r="AJ43" s="1">
        <v>45.265781459999999</v>
      </c>
      <c r="AK43" s="1">
        <v>125.35552816000001</v>
      </c>
      <c r="AL43" s="1">
        <v>0</v>
      </c>
      <c r="AM43" s="1">
        <v>1.5562691399999999</v>
      </c>
      <c r="AN43" s="1">
        <v>3.88054415</v>
      </c>
      <c r="AO43" s="1">
        <v>41.325751990000001</v>
      </c>
      <c r="AP43" s="1">
        <v>3.6167236200000001</v>
      </c>
      <c r="AQ43" s="1">
        <v>0.72009493000000002</v>
      </c>
      <c r="AR43" s="1">
        <v>131.25203550000001</v>
      </c>
      <c r="AS43" s="1">
        <v>1.4099825800000001</v>
      </c>
      <c r="AT43" s="4">
        <v>58.610903329999999</v>
      </c>
      <c r="AU43" s="1">
        <v>0</v>
      </c>
      <c r="AV43" s="1">
        <v>1879.28982533</v>
      </c>
      <c r="AW43" s="1">
        <v>1788.6602476099999</v>
      </c>
      <c r="AX43" s="1">
        <v>32.018674390000001</v>
      </c>
      <c r="AY43" s="4">
        <v>2304.39767115</v>
      </c>
      <c r="BB43" s="18"/>
      <c r="BC43">
        <f t="shared" si="1"/>
        <v>3097.2633882199998</v>
      </c>
      <c r="BD43" s="1" t="s">
        <v>40</v>
      </c>
      <c r="BE43">
        <f t="shared" si="4"/>
        <v>0</v>
      </c>
      <c r="BF43">
        <f t="shared" si="5"/>
        <v>2.1575542543188252E-4</v>
      </c>
      <c r="BG43">
        <f t="shared" si="6"/>
        <v>7.2244259513426397E-6</v>
      </c>
      <c r="BH43">
        <f t="shared" si="7"/>
        <v>5.6730468121724782E-2</v>
      </c>
      <c r="BI43">
        <f t="shared" si="8"/>
        <v>6.0303663133841681E-4</v>
      </c>
      <c r="BJ43">
        <f t="shared" si="9"/>
        <v>2.4537172853638441E-2</v>
      </c>
      <c r="BK43">
        <f t="shared" si="10"/>
        <v>6.9346552126274574E-4</v>
      </c>
      <c r="BL43">
        <f t="shared" si="11"/>
        <v>2.9823420856398556E-2</v>
      </c>
      <c r="BM43">
        <f t="shared" si="12"/>
        <v>2.3311021747328253E-3</v>
      </c>
      <c r="BN43">
        <f t="shared" si="13"/>
        <v>6.4275008272515538E-3</v>
      </c>
      <c r="BO43">
        <f t="shared" si="14"/>
        <v>1.1490566199619597E-5</v>
      </c>
      <c r="BP43">
        <f t="shared" si="15"/>
        <v>1.5739158279340173E-3</v>
      </c>
      <c r="BQ43">
        <f t="shared" si="16"/>
        <v>5.9575584595679008E-4</v>
      </c>
      <c r="BR43">
        <f t="shared" si="17"/>
        <v>3.4740303459253991E-5</v>
      </c>
      <c r="BS43">
        <f t="shared" si="18"/>
        <v>3.5509933839759006E-4</v>
      </c>
      <c r="BT43">
        <f t="shared" si="19"/>
        <v>3.77495199293316E-4</v>
      </c>
      <c r="BU43">
        <f t="shared" si="20"/>
        <v>2.9221172614581443E-3</v>
      </c>
      <c r="BV43">
        <f t="shared" si="21"/>
        <v>6.0132622142618642E-4</v>
      </c>
      <c r="BW43">
        <f t="shared" si="22"/>
        <v>8.9257758978928434E-4</v>
      </c>
      <c r="BX43">
        <f t="shared" si="23"/>
        <v>1.1359432276187461E-3</v>
      </c>
      <c r="BY43">
        <f t="shared" si="24"/>
        <v>7.8246067131952264E-3</v>
      </c>
      <c r="BZ43">
        <f t="shared" si="25"/>
        <v>3.5411150829840098E-4</v>
      </c>
      <c r="CA43">
        <f t="shared" si="26"/>
        <v>1.0189797490273451E-3</v>
      </c>
      <c r="CB43">
        <f t="shared" si="27"/>
        <v>4.2815167739483403E-3</v>
      </c>
      <c r="CC43">
        <f t="shared" si="28"/>
        <v>3.5975880544675626E-2</v>
      </c>
      <c r="CD43">
        <f t="shared" si="29"/>
        <v>1.9470263926974929E-2</v>
      </c>
      <c r="CE43">
        <f t="shared" si="30"/>
        <v>2.3166322742489153E-2</v>
      </c>
      <c r="CF43">
        <f t="shared" si="31"/>
        <v>1.4751814425526862E-2</v>
      </c>
      <c r="CG43">
        <f t="shared" si="32"/>
        <v>4.1250810146122718E-4</v>
      </c>
      <c r="CH43">
        <f t="shared" si="33"/>
        <v>0</v>
      </c>
      <c r="CI43">
        <f t="shared" si="34"/>
        <v>2.7913671139116889E-2</v>
      </c>
      <c r="CJ43">
        <f t="shared" si="35"/>
        <v>1.3784549687437626E-2</v>
      </c>
      <c r="CK43">
        <f t="shared" si="36"/>
        <v>1.4614766581415695E-2</v>
      </c>
      <c r="CL43">
        <f t="shared" si="37"/>
        <v>4.0472995818428587E-2</v>
      </c>
      <c r="CM43">
        <f t="shared" si="38"/>
        <v>0</v>
      </c>
      <c r="CN43">
        <f t="shared" si="39"/>
        <v>5.0246586903750191E-4</v>
      </c>
      <c r="CO43">
        <f t="shared" si="40"/>
        <v>1.2528944631441732E-3</v>
      </c>
      <c r="CP43">
        <f t="shared" si="41"/>
        <v>1.3342666350939546E-2</v>
      </c>
      <c r="CQ43">
        <f t="shared" si="42"/>
        <v>1.1677158725847125E-3</v>
      </c>
      <c r="CR43">
        <f t="shared" si="43"/>
        <v>2.3249392761971052E-4</v>
      </c>
      <c r="CS43">
        <f t="shared" si="44"/>
        <v>4.2376775575237946E-2</v>
      </c>
      <c r="CT43">
        <f t="shared" si="45"/>
        <v>4.5523496172868866E-4</v>
      </c>
    </row>
    <row r="44" spans="1:98" x14ac:dyDescent="0.25">
      <c r="A44" s="14"/>
      <c r="B44" s="12"/>
      <c r="C44" s="3" t="s">
        <v>41</v>
      </c>
      <c r="D44" s="3">
        <v>0</v>
      </c>
      <c r="E44" s="3">
        <v>2.2585508299999999</v>
      </c>
      <c r="F44" s="3">
        <v>1.4171889999999999E-2</v>
      </c>
      <c r="G44" s="3">
        <v>34.85113252</v>
      </c>
      <c r="H44" s="3">
        <v>8.2908664400000003</v>
      </c>
      <c r="I44" s="3">
        <v>146.22940754999999</v>
      </c>
      <c r="J44" s="3">
        <v>73.048929900000005</v>
      </c>
      <c r="K44" s="3">
        <v>144.63627596000001</v>
      </c>
      <c r="L44" s="3">
        <v>61.559409870000003</v>
      </c>
      <c r="M44" s="3">
        <v>21.950378520000001</v>
      </c>
      <c r="N44" s="3">
        <v>2.0693500000000002E-3</v>
      </c>
      <c r="O44" s="3">
        <v>11.15671611</v>
      </c>
      <c r="P44" s="3">
        <v>20.908372029999999</v>
      </c>
      <c r="Q44" s="3">
        <v>0.39765887</v>
      </c>
      <c r="R44" s="3">
        <v>11.2923589</v>
      </c>
      <c r="S44" s="3">
        <v>28.229268009999998</v>
      </c>
      <c r="T44" s="3">
        <v>27.909892280000001</v>
      </c>
      <c r="U44" s="3">
        <v>7.0948443599999997</v>
      </c>
      <c r="V44" s="3">
        <v>11.43915088</v>
      </c>
      <c r="W44" s="3">
        <v>4.1468869699999997</v>
      </c>
      <c r="X44" s="3">
        <v>62.463860820000001</v>
      </c>
      <c r="Y44" s="3">
        <v>3.6467206600000002</v>
      </c>
      <c r="Z44" s="3">
        <v>15.034019969999999</v>
      </c>
      <c r="AA44" s="3">
        <v>67.109420990000004</v>
      </c>
      <c r="AB44" s="3">
        <v>163.32094049</v>
      </c>
      <c r="AC44" s="3">
        <v>222.68605540999999</v>
      </c>
      <c r="AD44" s="3">
        <v>463.65962988000001</v>
      </c>
      <c r="AE44" s="3">
        <v>31.501431329999999</v>
      </c>
      <c r="AF44" s="3">
        <v>9.4529920900000004</v>
      </c>
      <c r="AG44" s="3">
        <v>0</v>
      </c>
      <c r="AH44" s="3">
        <v>595.55447946000004</v>
      </c>
      <c r="AI44" s="3">
        <v>55.865055910000002</v>
      </c>
      <c r="AJ44" s="3">
        <v>132.45327212000001</v>
      </c>
      <c r="AK44" s="3">
        <v>535.28809064999996</v>
      </c>
      <c r="AL44" s="3">
        <v>0</v>
      </c>
      <c r="AM44" s="3">
        <v>0.18481449999999999</v>
      </c>
      <c r="AN44" s="3">
        <v>54.58107321</v>
      </c>
      <c r="AO44" s="3">
        <v>302.52817719000001</v>
      </c>
      <c r="AP44" s="3">
        <v>8.0723546699999993</v>
      </c>
      <c r="AQ44" s="3">
        <v>26.444938799999999</v>
      </c>
      <c r="AR44" s="3">
        <v>64.001301290000001</v>
      </c>
      <c r="AS44" s="3">
        <v>72.097697080000003</v>
      </c>
      <c r="AT44" s="5">
        <v>0</v>
      </c>
      <c r="AU44" s="3">
        <v>0</v>
      </c>
      <c r="AV44" s="3">
        <v>9854.1393829499993</v>
      </c>
      <c r="AW44" s="3">
        <v>9843.5508458299992</v>
      </c>
      <c r="AX44" s="3">
        <v>10.58853712</v>
      </c>
      <c r="AY44" s="3">
        <v>10007.92803779</v>
      </c>
      <c r="AZ44" s="3"/>
      <c r="BA44" s="3"/>
      <c r="BB44" s="19"/>
      <c r="BC44" s="1">
        <f t="shared" si="1"/>
        <v>13355.50205071</v>
      </c>
      <c r="BD44" s="3" t="s">
        <v>41</v>
      </c>
      <c r="BE44" s="1">
        <f t="shared" si="4"/>
        <v>0</v>
      </c>
      <c r="BF44" s="3">
        <f t="shared" si="5"/>
        <v>1.6911014063151087E-4</v>
      </c>
      <c r="BG44" s="3">
        <f t="shared" si="6"/>
        <v>1.061127462388926E-6</v>
      </c>
      <c r="BH44" s="3">
        <f t="shared" si="7"/>
        <v>2.6094962501351463E-3</v>
      </c>
      <c r="BI44" s="3">
        <f t="shared" si="8"/>
        <v>6.2078283605663815E-4</v>
      </c>
      <c r="BJ44" s="3">
        <f t="shared" si="9"/>
        <v>1.094900116781654E-2</v>
      </c>
      <c r="BK44" s="3">
        <f t="shared" si="10"/>
        <v>5.4695757316076789E-3</v>
      </c>
      <c r="BL44" s="3">
        <f t="shared" si="11"/>
        <v>1.082971463078102E-2</v>
      </c>
      <c r="BM44" s="3">
        <f t="shared" si="12"/>
        <v>4.609292083237515E-3</v>
      </c>
      <c r="BN44" s="3">
        <f t="shared" si="13"/>
        <v>1.6435457414222092E-3</v>
      </c>
      <c r="BO44" s="3">
        <f t="shared" si="14"/>
        <v>1.5494363238033349E-7</v>
      </c>
      <c r="BP44" s="3">
        <f t="shared" si="15"/>
        <v>8.3536478581176896E-4</v>
      </c>
      <c r="BQ44" s="3">
        <f t="shared" si="16"/>
        <v>1.5655249761942476E-3</v>
      </c>
      <c r="BR44" s="3">
        <f t="shared" si="17"/>
        <v>2.9774909882841868E-5</v>
      </c>
      <c r="BS44" s="3">
        <f t="shared" si="18"/>
        <v>8.4552110861303644E-4</v>
      </c>
      <c r="BT44" s="3">
        <f t="shared" si="19"/>
        <v>2.113680781360015E-3</v>
      </c>
      <c r="BU44" s="3">
        <f t="shared" si="20"/>
        <v>2.0897673613487458E-3</v>
      </c>
      <c r="BV44" s="3">
        <f t="shared" si="21"/>
        <v>5.3123007529491011E-4</v>
      </c>
      <c r="BW44" s="3">
        <f t="shared" si="22"/>
        <v>8.5651223267880637E-4</v>
      </c>
      <c r="BX44" s="3">
        <f t="shared" si="23"/>
        <v>3.1050026829800416E-4</v>
      </c>
      <c r="BY44" s="3">
        <f t="shared" si="24"/>
        <v>4.6770133075363738E-3</v>
      </c>
      <c r="BZ44" s="3">
        <f t="shared" si="25"/>
        <v>2.7305006177630998E-4</v>
      </c>
      <c r="CA44" s="3">
        <f t="shared" si="26"/>
        <v>1.1256798818132612E-3</v>
      </c>
      <c r="CB44" s="3">
        <f t="shared" si="27"/>
        <v>5.024851984986394E-3</v>
      </c>
      <c r="CC44" s="3">
        <f t="shared" si="28"/>
        <v>1.2228738378376243E-2</v>
      </c>
      <c r="CD44" s="3">
        <f t="shared" si="29"/>
        <v>1.6673731512636146E-2</v>
      </c>
      <c r="CE44" s="3">
        <f t="shared" si="30"/>
        <v>3.4716750304070461E-2</v>
      </c>
      <c r="CF44" s="3">
        <f t="shared" si="31"/>
        <v>2.3586856720467001E-3</v>
      </c>
      <c r="CG44" s="3">
        <f t="shared" si="32"/>
        <v>7.0779758440435892E-4</v>
      </c>
      <c r="CH44" s="3">
        <f t="shared" si="33"/>
        <v>0</v>
      </c>
      <c r="CI44" s="3">
        <f t="shared" si="34"/>
        <v>4.4592444162616818E-2</v>
      </c>
      <c r="CJ44" s="3">
        <f t="shared" si="35"/>
        <v>4.1829244380244112E-3</v>
      </c>
      <c r="CK44" s="3">
        <f t="shared" si="36"/>
        <v>9.9175060298806652E-3</v>
      </c>
      <c r="CL44" s="3">
        <f t="shared" si="37"/>
        <v>4.0079967688039342E-2</v>
      </c>
      <c r="CM44" s="3">
        <f t="shared" si="38"/>
        <v>0</v>
      </c>
      <c r="CN44" s="3">
        <f t="shared" si="39"/>
        <v>1.3838079564382603E-5</v>
      </c>
      <c r="CO44" s="3">
        <f t="shared" si="40"/>
        <v>4.0867855811604166E-3</v>
      </c>
      <c r="CP44" s="3">
        <f t="shared" si="41"/>
        <v>2.2651950936873777E-2</v>
      </c>
      <c r="CQ44" s="3">
        <f t="shared" si="42"/>
        <v>6.0442165628441197E-4</v>
      </c>
      <c r="CR44" s="3">
        <f t="shared" si="43"/>
        <v>1.9800782254077933E-3</v>
      </c>
      <c r="CS44" s="3">
        <f t="shared" si="44"/>
        <v>4.7921299436734831E-3</v>
      </c>
      <c r="CT44" s="3">
        <f t="shared" si="45"/>
        <v>5.3983516910296285E-3</v>
      </c>
    </row>
    <row r="45" spans="1:98" x14ac:dyDescent="0.25">
      <c r="A45" s="14"/>
      <c r="B45" s="11" t="s">
        <v>44</v>
      </c>
      <c r="C45" t="s">
        <v>0</v>
      </c>
      <c r="D45">
        <v>123.69985826999999</v>
      </c>
      <c r="E45">
        <v>6.4975299999999996E-3</v>
      </c>
      <c r="F45">
        <v>1.0606910000000001E-2</v>
      </c>
      <c r="G45">
        <v>4.3660999999999998E-4</v>
      </c>
      <c r="H45">
        <v>6.9604200000000001E-3</v>
      </c>
      <c r="I45">
        <v>5.0769999999999997E-5</v>
      </c>
      <c r="J45">
        <v>6.3908999999999997E-3</v>
      </c>
      <c r="K45">
        <v>3.2535799999999998E-3</v>
      </c>
      <c r="L45">
        <v>0.22431376</v>
      </c>
      <c r="M45">
        <v>0.98438840999999999</v>
      </c>
      <c r="N45">
        <v>1.1882034699999999</v>
      </c>
      <c r="O45">
        <v>6.8877709999999995E-2</v>
      </c>
      <c r="P45">
        <v>7.3537489999999997E-2</v>
      </c>
      <c r="Q45">
        <v>2.1927269999999999E-2</v>
      </c>
      <c r="R45">
        <v>4.9090599999999998E-3</v>
      </c>
      <c r="S45">
        <v>0.2157076</v>
      </c>
      <c r="T45">
        <v>4.5990490000000002E-2</v>
      </c>
      <c r="U45">
        <v>1.7005329999999999E-2</v>
      </c>
      <c r="V45">
        <v>3.5048669999999997E-2</v>
      </c>
      <c r="W45">
        <v>1.1940330000000001E-2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0.13330338999999999</v>
      </c>
      <c r="AD45">
        <v>0.11638204000000001</v>
      </c>
      <c r="AE45">
        <v>7.2572000000000001E-4</v>
      </c>
      <c r="AF45">
        <v>4.6814500000000002E-3</v>
      </c>
      <c r="AG45">
        <v>1E-8</v>
      </c>
      <c r="AH45">
        <v>8.6967000000000001E-4</v>
      </c>
      <c r="AI45">
        <v>5.0304139999999997E-2</v>
      </c>
      <c r="AJ45">
        <v>0</v>
      </c>
      <c r="AK45">
        <v>0.23897983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6.1790600000000001E-2</v>
      </c>
      <c r="AS45">
        <v>5.1006999999999995E-4</v>
      </c>
      <c r="AT45" s="4">
        <v>0</v>
      </c>
      <c r="AU45">
        <v>121.62246951</v>
      </c>
      <c r="AV45">
        <v>145.97209724000001</v>
      </c>
      <c r="AW45">
        <v>0</v>
      </c>
      <c r="AX45">
        <v>24.349627730000002</v>
      </c>
      <c r="AY45" s="4">
        <v>0</v>
      </c>
      <c r="BB45" s="17" t="s">
        <v>61</v>
      </c>
      <c r="BC45" s="1">
        <f t="shared" si="1"/>
        <v>273.20554874000004</v>
      </c>
      <c r="BD45" t="s">
        <v>0</v>
      </c>
      <c r="BE45" s="1">
        <f>D45/$BC45</f>
        <v>0.45277213014337686</v>
      </c>
      <c r="BF45" s="1">
        <f t="shared" si="5"/>
        <v>2.3782569680469654E-5</v>
      </c>
      <c r="BG45" s="1">
        <f t="shared" si="6"/>
        <v>3.8823918653622286E-5</v>
      </c>
      <c r="BH45" s="1">
        <f t="shared" si="7"/>
        <v>1.5981007780171629E-6</v>
      </c>
      <c r="BI45" s="1">
        <f t="shared" si="8"/>
        <v>2.5476861769831708E-5</v>
      </c>
      <c r="BJ45" s="1">
        <f t="shared" si="9"/>
        <v>1.8583077918492787E-7</v>
      </c>
      <c r="BK45" s="1">
        <f t="shared" si="10"/>
        <v>2.3392277460960321E-5</v>
      </c>
      <c r="BL45" s="1">
        <f t="shared" si="11"/>
        <v>1.1908908933238086E-5</v>
      </c>
      <c r="BM45" s="1">
        <f t="shared" si="12"/>
        <v>8.2104393938745143E-4</v>
      </c>
      <c r="BN45" s="1">
        <f t="shared" si="13"/>
        <v>3.603105480616747E-3</v>
      </c>
      <c r="BO45" s="1">
        <f t="shared" si="14"/>
        <v>4.3491190990808566E-3</v>
      </c>
      <c r="BP45" s="1">
        <f t="shared" si="15"/>
        <v>2.5210948429729165E-4</v>
      </c>
      <c r="BQ45" s="1">
        <f t="shared" si="16"/>
        <v>2.6916543364199018E-4</v>
      </c>
      <c r="BR45" s="1">
        <f t="shared" si="17"/>
        <v>8.0259241077374309E-5</v>
      </c>
      <c r="BS45" s="1">
        <f t="shared" si="18"/>
        <v>1.7968375908323066E-5</v>
      </c>
      <c r="BT45" s="1">
        <f t="shared" si="19"/>
        <v>7.8954326145579579E-4</v>
      </c>
      <c r="BU45" s="1">
        <f t="shared" si="20"/>
        <v>1.6833658837495834E-4</v>
      </c>
      <c r="BV45" s="1">
        <f t="shared" si="21"/>
        <v>6.224372117779849E-5</v>
      </c>
      <c r="BW45" s="1">
        <f t="shared" si="22"/>
        <v>1.282868161413316E-4</v>
      </c>
      <c r="BX45" s="1">
        <f t="shared" si="23"/>
        <v>4.3704566232522554E-5</v>
      </c>
      <c r="BY45" s="1">
        <f t="shared" si="24"/>
        <v>0</v>
      </c>
      <c r="BZ45" s="1">
        <f t="shared" si="25"/>
        <v>0</v>
      </c>
      <c r="CA45" s="1">
        <f t="shared" si="26"/>
        <v>0</v>
      </c>
      <c r="CB45" s="1">
        <f t="shared" si="27"/>
        <v>0</v>
      </c>
      <c r="CC45" s="1">
        <f t="shared" si="28"/>
        <v>0</v>
      </c>
      <c r="CD45" s="1">
        <f t="shared" si="29"/>
        <v>4.8792343572370145E-4</v>
      </c>
      <c r="CE45" s="1">
        <f t="shared" si="30"/>
        <v>4.2598710215346555E-4</v>
      </c>
      <c r="CF45" s="1">
        <f t="shared" si="31"/>
        <v>2.6563150102439602E-6</v>
      </c>
      <c r="CG45" s="1">
        <f t="shared" si="32"/>
        <v>1.713526691383259E-5</v>
      </c>
      <c r="CH45" s="1">
        <f t="shared" si="33"/>
        <v>3.6602477680702756E-11</v>
      </c>
      <c r="CI45" s="1">
        <f t="shared" si="34"/>
        <v>3.1832076764576766E-6</v>
      </c>
      <c r="CJ45" s="1">
        <f t="shared" si="35"/>
        <v>1.8412561615969465E-4</v>
      </c>
      <c r="CK45" s="1">
        <f t="shared" si="36"/>
        <v>0</v>
      </c>
      <c r="CL45" s="1">
        <f t="shared" si="37"/>
        <v>8.7472538937131386E-4</v>
      </c>
      <c r="CM45" s="1">
        <f t="shared" si="38"/>
        <v>0</v>
      </c>
      <c r="CN45" s="1">
        <f t="shared" si="39"/>
        <v>0</v>
      </c>
      <c r="CO45" s="1">
        <f t="shared" si="40"/>
        <v>0</v>
      </c>
      <c r="CP45" s="1">
        <f t="shared" si="41"/>
        <v>0</v>
      </c>
      <c r="CQ45" s="1">
        <f t="shared" si="42"/>
        <v>0</v>
      </c>
      <c r="CR45" s="1">
        <f t="shared" si="43"/>
        <v>0</v>
      </c>
      <c r="CS45" s="1">
        <f t="shared" si="44"/>
        <v>2.2616890573772317E-4</v>
      </c>
      <c r="CT45" s="1">
        <f t="shared" si="45"/>
        <v>1.8669825790596052E-6</v>
      </c>
    </row>
    <row r="46" spans="1:98" x14ac:dyDescent="0.25">
      <c r="A46" s="14"/>
      <c r="B46" s="11"/>
      <c r="C46" t="s">
        <v>1</v>
      </c>
      <c r="D46">
        <v>2.7047283499999999</v>
      </c>
      <c r="E46">
        <v>50.424548039999998</v>
      </c>
      <c r="F46">
        <v>55.396763900000003</v>
      </c>
      <c r="G46">
        <v>1.9577800000000001E-3</v>
      </c>
      <c r="H46">
        <v>0.23514589999999999</v>
      </c>
      <c r="I46">
        <v>5.2276099999999997E-3</v>
      </c>
      <c r="J46">
        <v>5.0176989999999998E-2</v>
      </c>
      <c r="K46">
        <v>0.22050235000000001</v>
      </c>
      <c r="L46">
        <v>11.39424039</v>
      </c>
      <c r="M46">
        <v>11.58377385</v>
      </c>
      <c r="N46">
        <v>1.6664976199999999</v>
      </c>
      <c r="O46">
        <v>0.34201436000000002</v>
      </c>
      <c r="P46">
        <v>0.57516007000000002</v>
      </c>
      <c r="Q46">
        <v>0.43242117000000002</v>
      </c>
      <c r="R46">
        <v>3.8409400000000003E-2</v>
      </c>
      <c r="S46">
        <v>0.24673920999999999</v>
      </c>
      <c r="T46">
        <v>0.99775853000000003</v>
      </c>
      <c r="U46">
        <v>0.38477858999999998</v>
      </c>
      <c r="V46">
        <v>0.48724255999999999</v>
      </c>
      <c r="W46">
        <v>1.6786354699999999</v>
      </c>
      <c r="X46">
        <v>0</v>
      </c>
      <c r="Y46">
        <v>0</v>
      </c>
      <c r="Z46">
        <v>0</v>
      </c>
      <c r="AA46">
        <v>0</v>
      </c>
      <c r="AB46">
        <v>0</v>
      </c>
      <c r="AC46">
        <v>3.0035290300000002</v>
      </c>
      <c r="AD46">
        <v>1.2948783399999999</v>
      </c>
      <c r="AE46">
        <v>5.0973800000000003E-3</v>
      </c>
      <c r="AF46">
        <v>20.98386854</v>
      </c>
      <c r="AG46">
        <v>2.7000000000000001E-7</v>
      </c>
      <c r="AH46">
        <v>2.51359E-3</v>
      </c>
      <c r="AI46">
        <v>0.98147744999999997</v>
      </c>
      <c r="AJ46">
        <v>0</v>
      </c>
      <c r="AK46">
        <v>7.3622613799999996</v>
      </c>
      <c r="AL46">
        <v>0</v>
      </c>
      <c r="AM46">
        <v>1.17E-6</v>
      </c>
      <c r="AN46">
        <v>0</v>
      </c>
      <c r="AO46">
        <v>0</v>
      </c>
      <c r="AP46">
        <v>0</v>
      </c>
      <c r="AQ46">
        <v>0</v>
      </c>
      <c r="AR46">
        <v>1.2375168599999999</v>
      </c>
      <c r="AS46">
        <v>0.10419489</v>
      </c>
      <c r="AT46" s="4">
        <v>0</v>
      </c>
      <c r="AU46">
        <v>0.77130752000000002</v>
      </c>
      <c r="AV46">
        <v>10.565035590000001</v>
      </c>
      <c r="AW46">
        <v>4.5788878799999999</v>
      </c>
      <c r="AX46">
        <v>5.2148402000000003</v>
      </c>
      <c r="AY46" s="4">
        <v>0</v>
      </c>
      <c r="BB46" s="18"/>
      <c r="BC46" s="1">
        <f t="shared" si="1"/>
        <v>184.40709663000001</v>
      </c>
      <c r="BD46" t="s">
        <v>1</v>
      </c>
      <c r="BE46" s="1">
        <f t="shared" ref="BE46:BE86" si="46">D46/$BC46</f>
        <v>1.4667159775455111E-2</v>
      </c>
      <c r="BF46" s="1">
        <f t="shared" ref="BF46:BF86" si="47">E46/$BC46</f>
        <v>0.27344147248938766</v>
      </c>
      <c r="BG46" s="1">
        <f t="shared" ref="BG46:BG86" si="48">F46/$BC46</f>
        <v>0.30040472906067034</v>
      </c>
      <c r="BH46" s="1">
        <f t="shared" ref="BH46:BH86" si="49">G46/$BC46</f>
        <v>1.0616619619190412E-5</v>
      </c>
      <c r="BI46" s="1">
        <f t="shared" ref="BI46:BI86" si="50">H46/$BC46</f>
        <v>1.2751456115151787E-3</v>
      </c>
      <c r="BJ46" s="1">
        <f t="shared" ref="BJ46:BJ86" si="51">I46/$BC46</f>
        <v>2.8348204030828786E-5</v>
      </c>
      <c r="BK46" s="1">
        <f t="shared" ref="BK46:BK86" si="52">J46/$BC46</f>
        <v>2.7209901851378657E-4</v>
      </c>
      <c r="BL46" s="1">
        <f t="shared" ref="BL46:BL86" si="53">K46/$BC46</f>
        <v>1.1957367912061574E-3</v>
      </c>
      <c r="BM46" s="1">
        <f t="shared" ref="BM46:BM86" si="54">L46/$BC46</f>
        <v>6.1788513556296318E-2</v>
      </c>
      <c r="BN46" s="1">
        <f t="shared" ref="BN46:BN86" si="55">M46/$BC46</f>
        <v>6.281631272164126E-2</v>
      </c>
      <c r="BO46" s="1">
        <f t="shared" ref="BO46:BO86" si="56">N46/$BC46</f>
        <v>9.0370579573936429E-3</v>
      </c>
      <c r="BP46" s="1">
        <f t="shared" ref="BP46:BP86" si="57">O46/$BC46</f>
        <v>1.8546702716448489E-3</v>
      </c>
      <c r="BQ46" s="1">
        <f t="shared" ref="BQ46:BQ86" si="58">P46/$BC46</f>
        <v>3.118969283237611E-3</v>
      </c>
      <c r="BR46" s="1">
        <f t="shared" ref="BR46:BR86" si="59">Q46/$BC46</f>
        <v>2.3449269464267037E-3</v>
      </c>
      <c r="BS46" s="1">
        <f t="shared" ref="BS46:BS86" si="60">R46/$BC46</f>
        <v>2.0828591036854609E-4</v>
      </c>
      <c r="BT46" s="1">
        <f t="shared" ref="BT46:BT86" si="61">S46/$BC46</f>
        <v>1.3380136367260585E-3</v>
      </c>
      <c r="BU46" s="1">
        <f t="shared" ref="BU46:BU86" si="62">T46/$BC46</f>
        <v>5.4106297872143876E-3</v>
      </c>
      <c r="BV46" s="1">
        <f t="shared" ref="BV46:BV86" si="63">U46/$BC46</f>
        <v>2.086571487929401E-3</v>
      </c>
      <c r="BW46" s="1">
        <f t="shared" ref="BW46:BW86" si="64">V46/$BC46</f>
        <v>2.6422115466500631E-3</v>
      </c>
      <c r="BX46" s="1">
        <f t="shared" ref="BX46:BX86" si="65">W46/$BC46</f>
        <v>9.1028789058376913E-3</v>
      </c>
      <c r="BY46" s="1">
        <f t="shared" ref="BY46:BY86" si="66">X46/$BC46</f>
        <v>0</v>
      </c>
      <c r="BZ46" s="1">
        <f t="shared" ref="BZ46:BZ86" si="67">Y46/$BC46</f>
        <v>0</v>
      </c>
      <c r="CA46" s="1">
        <f t="shared" ref="CA46:CA86" si="68">Z46/$BC46</f>
        <v>0</v>
      </c>
      <c r="CB46" s="1">
        <f t="shared" ref="CB46:CB86" si="69">AA46/$BC46</f>
        <v>0</v>
      </c>
      <c r="CC46" s="1">
        <f t="shared" ref="CC46:CC86" si="70">AB46/$BC46</f>
        <v>0</v>
      </c>
      <c r="CD46" s="1">
        <f t="shared" ref="CD46:CD86" si="71">AC46/$BC46</f>
        <v>1.6287491560188553E-2</v>
      </c>
      <c r="CE46" s="1">
        <f t="shared" ref="CE46:CE86" si="72">AD46/$BC46</f>
        <v>7.0218465756666784E-3</v>
      </c>
      <c r="CF46" s="1">
        <f t="shared" ref="CF46:CF86" si="73">AE46/$BC46</f>
        <v>2.764199476676073E-5</v>
      </c>
      <c r="CG46" s="1">
        <f t="shared" ref="CG46:CG86" si="74">AF46/$BC46</f>
        <v>0.11379100329366754</v>
      </c>
      <c r="CH46" s="1">
        <f t="shared" ref="CH46:CH86" si="75">AG46/$BC46</f>
        <v>1.464151895096186E-9</v>
      </c>
      <c r="CI46" s="1">
        <f t="shared" ref="CI46:CI86" si="76">AH46/$BC46</f>
        <v>1.3630657637017859E-5</v>
      </c>
      <c r="CJ46" s="1">
        <f t="shared" ref="CJ46:CJ86" si="77">AI46/$BC46</f>
        <v>5.3223409941173042E-3</v>
      </c>
      <c r="CK46" s="1">
        <f t="shared" ref="CK46:CK86" si="78">AJ46/$BC46</f>
        <v>0</v>
      </c>
      <c r="CL46" s="1">
        <f t="shared" ref="CL46:CL86" si="79">AK46/$BC46</f>
        <v>3.9923959080446152E-2</v>
      </c>
      <c r="CM46" s="1">
        <f t="shared" ref="CM46:CM86" si="80">AL46/$BC46</f>
        <v>0</v>
      </c>
      <c r="CN46" s="1">
        <f t="shared" ref="CN46:CN86" si="81">AM46/$BC46</f>
        <v>6.3446582120834727E-9</v>
      </c>
      <c r="CO46" s="1">
        <f t="shared" ref="CO46:CO86" si="82">AN46/$BC46</f>
        <v>0</v>
      </c>
      <c r="CP46" s="1">
        <f t="shared" ref="CP46:CP86" si="83">AO46/$BC46</f>
        <v>0</v>
      </c>
      <c r="CQ46" s="1">
        <f t="shared" ref="CQ46:CQ86" si="84">AP46/$BC46</f>
        <v>0</v>
      </c>
      <c r="CR46" s="1">
        <f t="shared" ref="CR46:CR86" si="85">AQ46/$BC46</f>
        <v>0</v>
      </c>
      <c r="CS46" s="1">
        <f t="shared" ref="CS46:CS86" si="86">AR46/$BC46</f>
        <v>6.71078761400919E-3</v>
      </c>
      <c r="CT46" s="1">
        <f t="shared" ref="CT46:CT86" si="87">AS46/$BC46</f>
        <v>5.6502646538088383E-4</v>
      </c>
    </row>
    <row r="47" spans="1:98" x14ac:dyDescent="0.25">
      <c r="A47" s="14"/>
      <c r="B47" s="11"/>
      <c r="C47" t="s">
        <v>2</v>
      </c>
      <c r="D47">
        <v>0</v>
      </c>
      <c r="E47">
        <v>9.4849299999999998E-2</v>
      </c>
      <c r="F47">
        <v>2.3735390600000001</v>
      </c>
      <c r="G47">
        <v>3.2353999999999998E-4</v>
      </c>
      <c r="H47">
        <v>3.9470770000000002E-2</v>
      </c>
      <c r="I47">
        <v>5.7289999999999999E-4</v>
      </c>
      <c r="J47">
        <v>1.9687699999999999E-3</v>
      </c>
      <c r="K47">
        <v>3.9457800000000003E-3</v>
      </c>
      <c r="L47">
        <v>0.78466875999999997</v>
      </c>
      <c r="M47">
        <v>0.58627015000000005</v>
      </c>
      <c r="N47">
        <v>5.9200389999999999E-2</v>
      </c>
      <c r="O47">
        <v>7.9329179999999999E-2</v>
      </c>
      <c r="P47">
        <v>4.8484899999999997E-2</v>
      </c>
      <c r="Q47">
        <v>0.55438544000000001</v>
      </c>
      <c r="R47">
        <v>8.0761800000000005E-3</v>
      </c>
      <c r="S47">
        <v>5.0474850000000002E-2</v>
      </c>
      <c r="T47">
        <v>9.1865710000000003E-2</v>
      </c>
      <c r="U47">
        <v>0.35302403999999998</v>
      </c>
      <c r="V47">
        <v>2.2420949999999999E-2</v>
      </c>
      <c r="W47">
        <v>1.0761969999999999E-2</v>
      </c>
      <c r="X47">
        <v>3.5731739999999998E-2</v>
      </c>
      <c r="Y47">
        <v>0</v>
      </c>
      <c r="Z47">
        <v>0</v>
      </c>
      <c r="AA47">
        <v>0</v>
      </c>
      <c r="AB47">
        <v>0</v>
      </c>
      <c r="AC47">
        <v>0.38951634000000002</v>
      </c>
      <c r="AD47">
        <v>0.28639741000000002</v>
      </c>
      <c r="AE47">
        <v>5.0568E-4</v>
      </c>
      <c r="AF47">
        <v>1.013881E-2</v>
      </c>
      <c r="AG47">
        <v>1.4000000000000001E-7</v>
      </c>
      <c r="AH47">
        <v>1.9749199999999998E-3</v>
      </c>
      <c r="AI47">
        <v>3.4220970000000003E-2</v>
      </c>
      <c r="AJ47">
        <v>0</v>
      </c>
      <c r="AK47">
        <v>0.19699912</v>
      </c>
      <c r="AL47">
        <v>0</v>
      </c>
      <c r="AM47">
        <v>4.0000000000000001E-8</v>
      </c>
      <c r="AN47">
        <v>0</v>
      </c>
      <c r="AO47">
        <v>0</v>
      </c>
      <c r="AP47">
        <v>0</v>
      </c>
      <c r="AQ47">
        <v>0</v>
      </c>
      <c r="AR47">
        <v>3.7655590000000003E-2</v>
      </c>
      <c r="AS47">
        <v>4.5755999999999998E-4</v>
      </c>
      <c r="AT47" s="4">
        <v>0</v>
      </c>
      <c r="AU47">
        <v>8.5643175100000004</v>
      </c>
      <c r="AV47">
        <v>9.0091320600000007</v>
      </c>
      <c r="AW47">
        <v>0</v>
      </c>
      <c r="AX47">
        <v>0.44481453999999998</v>
      </c>
      <c r="AY47" s="4">
        <v>0</v>
      </c>
      <c r="BB47" s="18"/>
      <c r="BC47" s="1">
        <f>SUM(D47:AS47)+AV47</f>
        <v>15.16636302</v>
      </c>
      <c r="BD47" t="s">
        <v>2</v>
      </c>
      <c r="BE47" s="1">
        <f t="shared" si="46"/>
        <v>0</v>
      </c>
      <c r="BF47" s="1">
        <f t="shared" si="47"/>
        <v>6.2539252077061253E-3</v>
      </c>
      <c r="BG47" s="1">
        <f t="shared" si="48"/>
        <v>0.15650021411659445</v>
      </c>
      <c r="BH47" s="1">
        <f t="shared" si="49"/>
        <v>2.133273478772368E-5</v>
      </c>
      <c r="BI47" s="1">
        <f>H47/$BC47</f>
        <v>2.602520455823825E-3</v>
      </c>
      <c r="BJ47" s="1">
        <f t="shared" si="51"/>
        <v>3.7774382641673048E-5</v>
      </c>
      <c r="BK47" s="1">
        <f t="shared" si="52"/>
        <v>1.2981160990303131E-4</v>
      </c>
      <c r="BL47" s="1">
        <f t="shared" si="53"/>
        <v>2.6016652738673535E-4</v>
      </c>
      <c r="BM47" s="1">
        <f t="shared" si="54"/>
        <v>5.1737437575854618E-2</v>
      </c>
      <c r="BN47" s="1">
        <f t="shared" si="55"/>
        <v>3.8655948642853995E-2</v>
      </c>
      <c r="BO47" s="1">
        <f t="shared" si="56"/>
        <v>3.903400566235424E-3</v>
      </c>
      <c r="BP47" s="1">
        <f t="shared" si="57"/>
        <v>5.2306001046782272E-3</v>
      </c>
      <c r="BQ47" s="1">
        <f t="shared" si="58"/>
        <v>3.196870596863769E-3</v>
      </c>
      <c r="BR47" s="1">
        <f t="shared" si="59"/>
        <v>3.6553617981379426E-2</v>
      </c>
      <c r="BS47" s="1">
        <f t="shared" si="60"/>
        <v>5.3250604573752323E-4</v>
      </c>
      <c r="BT47" s="1">
        <f t="shared" si="61"/>
        <v>3.3280787182423648E-3</v>
      </c>
      <c r="BU47" s="1">
        <f t="shared" si="62"/>
        <v>6.057201049378548E-3</v>
      </c>
      <c r="BV47" s="1">
        <f t="shared" si="63"/>
        <v>2.3276776346080101E-2</v>
      </c>
      <c r="BW47" s="1">
        <f t="shared" si="64"/>
        <v>1.4783339928256575E-3</v>
      </c>
      <c r="BX47" s="1">
        <f t="shared" si="65"/>
        <v>7.095946461131193E-4</v>
      </c>
      <c r="BY47" s="1">
        <f t="shared" si="66"/>
        <v>2.3559860694934097E-3</v>
      </c>
      <c r="BZ47" s="1">
        <f t="shared" si="67"/>
        <v>0</v>
      </c>
      <c r="CA47" s="1">
        <f t="shared" si="68"/>
        <v>0</v>
      </c>
      <c r="CB47" s="1">
        <f t="shared" si="69"/>
        <v>0</v>
      </c>
      <c r="CC47" s="1">
        <f t="shared" si="70"/>
        <v>0</v>
      </c>
      <c r="CD47" s="1">
        <f t="shared" si="71"/>
        <v>2.5682910232752692E-2</v>
      </c>
      <c r="CE47" s="1">
        <f t="shared" si="72"/>
        <v>1.8883723778886575E-2</v>
      </c>
      <c r="CF47" s="1">
        <f t="shared" si="73"/>
        <v>3.3342205994486341E-5</v>
      </c>
      <c r="CG47" s="1">
        <f t="shared" si="74"/>
        <v>6.6850635097088682E-4</v>
      </c>
      <c r="CH47" s="1">
        <f t="shared" si="75"/>
        <v>9.2309540405554663E-9</v>
      </c>
      <c r="CI47" s="1">
        <f t="shared" si="76"/>
        <v>1.3021711252695571E-4</v>
      </c>
      <c r="CJ47" s="1">
        <f t="shared" si="77"/>
        <v>2.2563728663801959E-3</v>
      </c>
      <c r="CK47" s="1">
        <f t="shared" si="78"/>
        <v>0</v>
      </c>
      <c r="CL47" s="1">
        <f t="shared" si="79"/>
        <v>1.2989213019641937E-2</v>
      </c>
      <c r="CM47" s="1">
        <f t="shared" si="80"/>
        <v>0</v>
      </c>
      <c r="CN47" s="1">
        <f t="shared" si="81"/>
        <v>2.6374154401587047E-9</v>
      </c>
      <c r="CO47" s="1">
        <f t="shared" si="82"/>
        <v>0</v>
      </c>
      <c r="CP47" s="1">
        <f t="shared" si="83"/>
        <v>0</v>
      </c>
      <c r="CQ47" s="1">
        <f t="shared" si="84"/>
        <v>0</v>
      </c>
      <c r="CR47" s="1">
        <f t="shared" si="85"/>
        <v>0</v>
      </c>
      <c r="CS47" s="1">
        <f t="shared" si="86"/>
        <v>2.482835861857143E-3</v>
      </c>
      <c r="CT47" s="1">
        <f t="shared" si="87"/>
        <v>3.0169395219975418E-5</v>
      </c>
    </row>
    <row r="48" spans="1:98" x14ac:dyDescent="0.25">
      <c r="A48" s="14"/>
      <c r="B48" s="11"/>
      <c r="C48" t="s">
        <v>3</v>
      </c>
      <c r="D48">
        <v>0</v>
      </c>
      <c r="E48">
        <v>0.27311754999999999</v>
      </c>
      <c r="F48">
        <v>2.075958E-2</v>
      </c>
      <c r="G48">
        <v>312.90246300000001</v>
      </c>
      <c r="H48">
        <v>0.61347054000000001</v>
      </c>
      <c r="I48">
        <v>3.7944200000000002E-3</v>
      </c>
      <c r="J48">
        <v>0.11917343</v>
      </c>
      <c r="K48">
        <v>1.76436796</v>
      </c>
      <c r="L48">
        <v>3.6448149999999999E-2</v>
      </c>
      <c r="M48">
        <v>13.644819569999999</v>
      </c>
      <c r="N48">
        <v>1.5882110000000001E-2</v>
      </c>
      <c r="O48">
        <v>0.13824581</v>
      </c>
      <c r="P48">
        <v>0.20284505999999999</v>
      </c>
      <c r="Q48">
        <v>1.81189E-2</v>
      </c>
      <c r="R48">
        <v>3.5118100000000002E-3</v>
      </c>
      <c r="S48">
        <v>8.5137400000000005E-3</v>
      </c>
      <c r="T48">
        <v>0.54671362999999995</v>
      </c>
      <c r="U48">
        <v>3.7155210000000001E-2</v>
      </c>
      <c r="V48">
        <v>0.17784409000000001</v>
      </c>
      <c r="W48">
        <v>0.44398798</v>
      </c>
      <c r="X48">
        <v>0</v>
      </c>
      <c r="Y48">
        <v>0</v>
      </c>
      <c r="Z48">
        <v>0</v>
      </c>
      <c r="AA48">
        <v>0</v>
      </c>
      <c r="AB48">
        <v>0</v>
      </c>
      <c r="AC48">
        <v>3.9613683499999999</v>
      </c>
      <c r="AD48">
        <v>1.8848776599999999</v>
      </c>
      <c r="AE48">
        <v>485.01171364999999</v>
      </c>
      <c r="AF48">
        <v>1.798549E-2</v>
      </c>
      <c r="AG48">
        <v>0</v>
      </c>
      <c r="AH48">
        <v>1.41442E-3</v>
      </c>
      <c r="AI48">
        <v>0.66758410999999995</v>
      </c>
      <c r="AJ48">
        <v>0</v>
      </c>
      <c r="AK48">
        <v>11.216221969999999</v>
      </c>
      <c r="AL48">
        <v>0</v>
      </c>
      <c r="AM48">
        <v>1.3E-7</v>
      </c>
      <c r="AN48">
        <v>0</v>
      </c>
      <c r="AO48">
        <v>0</v>
      </c>
      <c r="AP48">
        <v>0</v>
      </c>
      <c r="AQ48">
        <v>0</v>
      </c>
      <c r="AR48">
        <v>0.52813228000000001</v>
      </c>
      <c r="AS48">
        <v>5.822923E-2</v>
      </c>
      <c r="AT48" s="4">
        <v>0</v>
      </c>
      <c r="AU48">
        <v>13.65072352</v>
      </c>
      <c r="AV48">
        <v>604.93334735999997</v>
      </c>
      <c r="AW48">
        <v>590.61357111999996</v>
      </c>
      <c r="AX48">
        <v>0.66905272000000005</v>
      </c>
      <c r="AY48" s="4">
        <v>0</v>
      </c>
      <c r="BB48" s="18"/>
      <c r="BC48" s="1">
        <f t="shared" si="1"/>
        <v>1439.2521071900001</v>
      </c>
      <c r="BD48" t="s">
        <v>3</v>
      </c>
      <c r="BE48" s="1">
        <f t="shared" si="46"/>
        <v>0</v>
      </c>
      <c r="BF48" s="1">
        <f t="shared" si="47"/>
        <v>1.8976352275991139E-4</v>
      </c>
      <c r="BG48" s="1">
        <f t="shared" si="48"/>
        <v>1.4423866323552628E-5</v>
      </c>
      <c r="BH48" s="1">
        <f t="shared" si="49"/>
        <v>0.21740629139040255</v>
      </c>
      <c r="BI48" s="1">
        <f t="shared" si="50"/>
        <v>4.2624258594815725E-4</v>
      </c>
      <c r="BJ48" s="1">
        <f t="shared" si="51"/>
        <v>2.6363831472223701E-6</v>
      </c>
      <c r="BK48" s="1">
        <f t="shared" si="52"/>
        <v>8.2802331436341992E-5</v>
      </c>
      <c r="BL48" s="1">
        <f t="shared" si="53"/>
        <v>1.2258922194282953E-3</v>
      </c>
      <c r="BM48" s="1">
        <f t="shared" si="54"/>
        <v>2.5324367994959182E-5</v>
      </c>
      <c r="BN48" s="1">
        <f t="shared" si="55"/>
        <v>9.4804930295639342E-3</v>
      </c>
      <c r="BO48" s="1">
        <f t="shared" si="56"/>
        <v>1.1034974290229304E-5</v>
      </c>
      <c r="BP48" s="1">
        <f t="shared" si="57"/>
        <v>9.6053922248487454E-5</v>
      </c>
      <c r="BQ48" s="1">
        <f t="shared" si="58"/>
        <v>1.4093782387856655E-4</v>
      </c>
      <c r="BR48" s="1">
        <f t="shared" si="59"/>
        <v>1.258910784947565E-5</v>
      </c>
      <c r="BS48" s="1">
        <f t="shared" si="60"/>
        <v>2.4400242198404475E-6</v>
      </c>
      <c r="BT48" s="1">
        <f t="shared" si="61"/>
        <v>5.9153917214839109E-6</v>
      </c>
      <c r="BU48" s="1">
        <f t="shared" si="62"/>
        <v>3.7985953070265448E-4</v>
      </c>
      <c r="BV48" s="1">
        <f t="shared" si="63"/>
        <v>2.5815637034252422E-5</v>
      </c>
      <c r="BW48" s="1">
        <f t="shared" si="64"/>
        <v>1.2356701728040082E-4</v>
      </c>
      <c r="BX48" s="1">
        <f t="shared" si="65"/>
        <v>3.0848520407369311E-4</v>
      </c>
      <c r="BY48" s="1">
        <f t="shared" si="66"/>
        <v>0</v>
      </c>
      <c r="BZ48" s="1">
        <f t="shared" si="67"/>
        <v>0</v>
      </c>
      <c r="CA48" s="1">
        <f t="shared" si="68"/>
        <v>0</v>
      </c>
      <c r="CB48" s="1">
        <f t="shared" si="69"/>
        <v>0</v>
      </c>
      <c r="CC48" s="1">
        <f t="shared" si="70"/>
        <v>0</v>
      </c>
      <c r="CD48" s="1">
        <f t="shared" si="71"/>
        <v>2.7523797465436313E-3</v>
      </c>
      <c r="CE48" s="1">
        <f t="shared" si="72"/>
        <v>1.3096229983501921E-3</v>
      </c>
      <c r="CF48" s="1">
        <f t="shared" si="73"/>
        <v>0.33698871186434337</v>
      </c>
      <c r="CG48" s="1">
        <f t="shared" si="74"/>
        <v>1.2496413873671459E-5</v>
      </c>
      <c r="CH48" s="1">
        <f t="shared" si="75"/>
        <v>0</v>
      </c>
      <c r="CI48" s="1">
        <f t="shared" si="76"/>
        <v>9.8274652017812056E-7</v>
      </c>
      <c r="CJ48" s="1">
        <f t="shared" si="77"/>
        <v>4.6384098148266259E-4</v>
      </c>
      <c r="CK48" s="1">
        <f t="shared" si="78"/>
        <v>0</v>
      </c>
      <c r="CL48" s="1">
        <f t="shared" si="79"/>
        <v>7.7930905322060517E-3</v>
      </c>
      <c r="CM48" s="1">
        <f t="shared" si="80"/>
        <v>0</v>
      </c>
      <c r="CN48" s="1">
        <f t="shared" si="81"/>
        <v>9.0324689712501007E-11</v>
      </c>
      <c r="CO48" s="1">
        <f t="shared" si="82"/>
        <v>0</v>
      </c>
      <c r="CP48" s="1">
        <f t="shared" si="83"/>
        <v>0</v>
      </c>
      <c r="CQ48" s="1">
        <f t="shared" si="84"/>
        <v>0</v>
      </c>
      <c r="CR48" s="1">
        <f t="shared" si="85"/>
        <v>0</v>
      </c>
      <c r="CS48" s="1">
        <f t="shared" si="86"/>
        <v>3.6694911013965926E-4</v>
      </c>
      <c r="CT48" s="1">
        <f t="shared" si="87"/>
        <v>4.0457977938060422E-5</v>
      </c>
    </row>
    <row r="49" spans="1:98" x14ac:dyDescent="0.25">
      <c r="A49" s="14"/>
      <c r="B49" s="11"/>
      <c r="C49" t="s">
        <v>4</v>
      </c>
      <c r="D49">
        <v>0</v>
      </c>
      <c r="E49">
        <v>2.9918110000000001E-2</v>
      </c>
      <c r="F49">
        <v>1.348501E-2</v>
      </c>
      <c r="G49">
        <v>1.0768900000000001E-3</v>
      </c>
      <c r="H49">
        <v>45.408397299999997</v>
      </c>
      <c r="I49">
        <v>1.009264E-2</v>
      </c>
      <c r="J49">
        <v>8.0939299999999992E-3</v>
      </c>
      <c r="K49">
        <v>0.25170703</v>
      </c>
      <c r="L49">
        <v>0.16463053999999999</v>
      </c>
      <c r="M49">
        <v>17.9583303</v>
      </c>
      <c r="N49">
        <v>1.6948609999999999E-2</v>
      </c>
      <c r="O49">
        <v>0.14831918999999999</v>
      </c>
      <c r="P49">
        <v>9.3061550000000007E-2</v>
      </c>
      <c r="Q49">
        <v>8.9867089999999997E-2</v>
      </c>
      <c r="R49">
        <v>1.6947500000000001E-3</v>
      </c>
      <c r="S49">
        <v>5.7650510000000002E-2</v>
      </c>
      <c r="T49">
        <v>0.14666394999999999</v>
      </c>
      <c r="U49">
        <v>0.25690741</v>
      </c>
      <c r="V49">
        <v>0.46831462000000001</v>
      </c>
      <c r="W49">
        <v>0.13710949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0.94623281999999997</v>
      </c>
      <c r="AD49">
        <v>0.36394733000000001</v>
      </c>
      <c r="AE49">
        <v>30.632181330000002</v>
      </c>
      <c r="AF49">
        <v>1.1525519999999999E-2</v>
      </c>
      <c r="AG49">
        <v>0</v>
      </c>
      <c r="AH49">
        <v>8.1826000000000002E-4</v>
      </c>
      <c r="AI49">
        <v>0.28563105</v>
      </c>
      <c r="AJ49">
        <v>0</v>
      </c>
      <c r="AK49">
        <v>1.7893957199999999</v>
      </c>
      <c r="AL49">
        <v>0</v>
      </c>
      <c r="AM49">
        <v>1.4999999999999999E-7</v>
      </c>
      <c r="AN49">
        <v>0</v>
      </c>
      <c r="AO49">
        <v>0</v>
      </c>
      <c r="AP49">
        <v>0</v>
      </c>
      <c r="AQ49">
        <v>0</v>
      </c>
      <c r="AR49">
        <v>0.26202218999999999</v>
      </c>
      <c r="AS49">
        <v>2.5837479999999999E-2</v>
      </c>
      <c r="AT49" s="4">
        <v>0</v>
      </c>
      <c r="AU49">
        <v>0.85490376999999995</v>
      </c>
      <c r="AV49">
        <v>11.23110685</v>
      </c>
      <c r="AW49">
        <v>10.376203070000001</v>
      </c>
      <c r="AX49">
        <v>0</v>
      </c>
      <c r="AY49" s="4">
        <v>0</v>
      </c>
      <c r="BB49" s="18"/>
      <c r="BC49" s="1">
        <f t="shared" si="1"/>
        <v>110.81096762000004</v>
      </c>
      <c r="BD49" t="s">
        <v>4</v>
      </c>
      <c r="BE49" s="1">
        <f t="shared" si="46"/>
        <v>0</v>
      </c>
      <c r="BF49" s="1">
        <f t="shared" si="47"/>
        <v>2.6999231793189526E-4</v>
      </c>
      <c r="BG49" s="1">
        <f t="shared" si="48"/>
        <v>1.2169382047311099E-4</v>
      </c>
      <c r="BH49" s="1">
        <f t="shared" si="49"/>
        <v>9.7182618573726308E-6</v>
      </c>
      <c r="BI49" s="1">
        <f t="shared" si="50"/>
        <v>0.40978251769912649</v>
      </c>
      <c r="BJ49" s="1">
        <f t="shared" si="51"/>
        <v>9.1079793063537882E-5</v>
      </c>
      <c r="BK49" s="1">
        <f t="shared" si="52"/>
        <v>7.3042679563598925E-5</v>
      </c>
      <c r="BL49" s="1">
        <f t="shared" si="53"/>
        <v>2.2714992514384462E-3</v>
      </c>
      <c r="BM49" s="1">
        <f t="shared" si="54"/>
        <v>1.4856881366162365E-3</v>
      </c>
      <c r="BN49" s="1">
        <f t="shared" si="55"/>
        <v>0.16206275141991214</v>
      </c>
      <c r="BO49" s="1">
        <f t="shared" si="56"/>
        <v>1.5295065429011721E-4</v>
      </c>
      <c r="BP49" s="1">
        <f t="shared" si="57"/>
        <v>1.3384883571148436E-3</v>
      </c>
      <c r="BQ49" s="1">
        <f t="shared" si="58"/>
        <v>8.3982255546339549E-4</v>
      </c>
      <c r="BR49" s="1">
        <f t="shared" si="59"/>
        <v>8.109945425995908E-4</v>
      </c>
      <c r="BS49" s="1">
        <f t="shared" si="60"/>
        <v>1.5294063723112171E-5</v>
      </c>
      <c r="BT49" s="1">
        <f t="shared" si="61"/>
        <v>5.2025996377631832E-4</v>
      </c>
      <c r="BU49" s="1">
        <f t="shared" si="62"/>
        <v>1.323550846545707E-3</v>
      </c>
      <c r="BV49" s="1">
        <f t="shared" si="63"/>
        <v>2.3184294435637733E-3</v>
      </c>
      <c r="BW49" s="1">
        <f t="shared" si="64"/>
        <v>4.2262479072105391E-3</v>
      </c>
      <c r="BX49" s="1">
        <f t="shared" si="65"/>
        <v>1.2373277929508251E-3</v>
      </c>
      <c r="BY49" s="1">
        <f t="shared" si="66"/>
        <v>0</v>
      </c>
      <c r="BZ49" s="1">
        <f t="shared" si="67"/>
        <v>0</v>
      </c>
      <c r="CA49" s="1">
        <f t="shared" si="68"/>
        <v>0</v>
      </c>
      <c r="CB49" s="1">
        <f t="shared" si="69"/>
        <v>0</v>
      </c>
      <c r="CC49" s="1">
        <f t="shared" si="70"/>
        <v>0</v>
      </c>
      <c r="CD49" s="1">
        <f t="shared" si="71"/>
        <v>8.5391621454374549E-3</v>
      </c>
      <c r="CE49" s="1">
        <f t="shared" si="72"/>
        <v>3.2843980863705761E-3</v>
      </c>
      <c r="CF49" s="1">
        <f t="shared" si="73"/>
        <v>0.2764363671567765</v>
      </c>
      <c r="CG49" s="1">
        <f t="shared" si="74"/>
        <v>1.0401064305768035E-4</v>
      </c>
      <c r="CH49" s="1">
        <f t="shared" si="75"/>
        <v>0</v>
      </c>
      <c r="CI49" s="1">
        <f t="shared" si="76"/>
        <v>7.3842871114168843E-6</v>
      </c>
      <c r="CJ49" s="1">
        <f t="shared" si="77"/>
        <v>2.5776424133349689E-3</v>
      </c>
      <c r="CK49" s="1">
        <f t="shared" si="78"/>
        <v>0</v>
      </c>
      <c r="CL49" s="1">
        <f t="shared" si="79"/>
        <v>1.6148182426637663E-2</v>
      </c>
      <c r="CM49" s="1">
        <f t="shared" si="80"/>
        <v>0</v>
      </c>
      <c r="CN49" s="1">
        <f t="shared" si="81"/>
        <v>1.353656621015976E-9</v>
      </c>
      <c r="CO49" s="1">
        <f t="shared" si="82"/>
        <v>0</v>
      </c>
      <c r="CP49" s="1">
        <f t="shared" si="83"/>
        <v>0</v>
      </c>
      <c r="CQ49" s="1">
        <f t="shared" si="84"/>
        <v>0</v>
      </c>
      <c r="CR49" s="1">
        <f t="shared" si="85"/>
        <v>0</v>
      </c>
      <c r="CS49" s="1">
        <f t="shared" si="86"/>
        <v>2.3645871489773739E-3</v>
      </c>
      <c r="CT49" s="1">
        <f t="shared" si="87"/>
        <v>2.3316717248245242E-4</v>
      </c>
    </row>
    <row r="50" spans="1:98" x14ac:dyDescent="0.25">
      <c r="A50" s="14"/>
      <c r="B50" s="11"/>
      <c r="C50" t="s">
        <v>5</v>
      </c>
      <c r="D50">
        <v>0</v>
      </c>
      <c r="E50">
        <v>6.3751119999999994E-2</v>
      </c>
      <c r="F50">
        <v>2.0143390000000001E-2</v>
      </c>
      <c r="G50">
        <v>7.6298687999999997</v>
      </c>
      <c r="H50">
        <v>18.571363689999998</v>
      </c>
      <c r="I50">
        <v>15.621898290000001</v>
      </c>
      <c r="J50">
        <v>1.172963E-2</v>
      </c>
      <c r="K50">
        <v>0.44720684999999999</v>
      </c>
      <c r="L50">
        <v>2.1900010000000001E-2</v>
      </c>
      <c r="M50">
        <v>12.5556771</v>
      </c>
      <c r="N50">
        <v>5.4460100000000003E-3</v>
      </c>
      <c r="O50">
        <v>0.70468461000000004</v>
      </c>
      <c r="P50">
        <v>4.3246519999999997E-2</v>
      </c>
      <c r="Q50">
        <v>0.13416559</v>
      </c>
      <c r="R50">
        <v>1.7367000000000001E-3</v>
      </c>
      <c r="S50">
        <v>1.086048E-2</v>
      </c>
      <c r="T50">
        <v>1.0367123199999999</v>
      </c>
      <c r="U50">
        <v>1.061777E-2</v>
      </c>
      <c r="V50">
        <v>1.38565706</v>
      </c>
      <c r="W50">
        <v>4.918997E-2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0.99381174000000005</v>
      </c>
      <c r="AD50">
        <v>0.51904227000000003</v>
      </c>
      <c r="AE50">
        <v>0.59861850999999999</v>
      </c>
      <c r="AF50">
        <v>3.4887799999999999E-3</v>
      </c>
      <c r="AG50">
        <v>0</v>
      </c>
      <c r="AH50">
        <v>3.0089E-4</v>
      </c>
      <c r="AI50">
        <v>0.21749737999999999</v>
      </c>
      <c r="AJ50">
        <v>0</v>
      </c>
      <c r="AK50">
        <v>3.3390632999999998</v>
      </c>
      <c r="AL50">
        <v>0</v>
      </c>
      <c r="AM50">
        <v>4.8999999999999997E-6</v>
      </c>
      <c r="AN50">
        <v>0</v>
      </c>
      <c r="AO50">
        <v>0</v>
      </c>
      <c r="AP50">
        <v>0</v>
      </c>
      <c r="AQ50">
        <v>0</v>
      </c>
      <c r="AR50">
        <v>0.40966078</v>
      </c>
      <c r="AS50">
        <v>1.9418410000000001E-2</v>
      </c>
      <c r="AT50" s="4">
        <v>0</v>
      </c>
      <c r="AU50">
        <v>0.10109665</v>
      </c>
      <c r="AV50">
        <v>226.19455866000001</v>
      </c>
      <c r="AW50">
        <v>226.09346201</v>
      </c>
      <c r="AX50">
        <v>0</v>
      </c>
      <c r="AY50" s="4">
        <v>0</v>
      </c>
      <c r="BB50" s="18"/>
      <c r="BC50" s="1">
        <f t="shared" si="1"/>
        <v>290.62132153000005</v>
      </c>
      <c r="BD50" t="s">
        <v>5</v>
      </c>
      <c r="BE50" s="1">
        <f t="shared" si="46"/>
        <v>0</v>
      </c>
      <c r="BF50" s="1">
        <f t="shared" si="47"/>
        <v>2.1936146895340278E-4</v>
      </c>
      <c r="BG50" s="1">
        <f t="shared" si="48"/>
        <v>6.9311466529549355E-5</v>
      </c>
      <c r="BH50" s="1">
        <f t="shared" si="49"/>
        <v>2.6253644295029431E-2</v>
      </c>
      <c r="BI50" s="1">
        <f t="shared" si="50"/>
        <v>6.3902275277772175E-2</v>
      </c>
      <c r="BJ50" s="1">
        <f t="shared" si="51"/>
        <v>5.3753448672510404E-2</v>
      </c>
      <c r="BK50" s="1">
        <f t="shared" si="52"/>
        <v>4.0360528051584067E-5</v>
      </c>
      <c r="BL50" s="1">
        <f t="shared" si="53"/>
        <v>1.5387957347576648E-3</v>
      </c>
      <c r="BM50" s="1">
        <f t="shared" si="54"/>
        <v>7.5355826904597298E-5</v>
      </c>
      <c r="BN50" s="1">
        <f t="shared" si="55"/>
        <v>4.3202876629627851E-2</v>
      </c>
      <c r="BO50" s="1">
        <f t="shared" si="56"/>
        <v>1.8739196323686882E-5</v>
      </c>
      <c r="BP50" s="1">
        <f t="shared" si="57"/>
        <v>2.4247519290399254E-3</v>
      </c>
      <c r="BQ50" s="1">
        <f t="shared" si="58"/>
        <v>1.4880711357420406E-4</v>
      </c>
      <c r="BR50" s="1">
        <f t="shared" si="59"/>
        <v>4.6165088402211552E-4</v>
      </c>
      <c r="BS50" s="1">
        <f t="shared" si="60"/>
        <v>5.9758175720108863E-6</v>
      </c>
      <c r="BT50" s="1">
        <f t="shared" si="61"/>
        <v>3.7369866542565094E-5</v>
      </c>
      <c r="BU50" s="1">
        <f t="shared" si="62"/>
        <v>3.5672273271009228E-3</v>
      </c>
      <c r="BV50" s="1">
        <f t="shared" si="63"/>
        <v>3.6534724789295807E-5</v>
      </c>
      <c r="BW50" s="1">
        <f t="shared" si="64"/>
        <v>4.767912597414028E-3</v>
      </c>
      <c r="BX50" s="1">
        <f t="shared" si="65"/>
        <v>1.6925795306770792E-4</v>
      </c>
      <c r="BY50" s="1">
        <f t="shared" si="66"/>
        <v>0</v>
      </c>
      <c r="BZ50" s="1">
        <f t="shared" si="67"/>
        <v>0</v>
      </c>
      <c r="CA50" s="1">
        <f t="shared" si="68"/>
        <v>0</v>
      </c>
      <c r="CB50" s="1">
        <f t="shared" si="69"/>
        <v>0</v>
      </c>
      <c r="CC50" s="1">
        <f t="shared" si="70"/>
        <v>0</v>
      </c>
      <c r="CD50" s="1">
        <f t="shared" si="71"/>
        <v>3.4196105597758476E-3</v>
      </c>
      <c r="CE50" s="1">
        <f t="shared" si="72"/>
        <v>1.7859745020339835E-3</v>
      </c>
      <c r="CF50" s="1">
        <f t="shared" si="73"/>
        <v>2.0597886860073554E-3</v>
      </c>
      <c r="CG50" s="1">
        <f t="shared" si="74"/>
        <v>1.200455624395701E-5</v>
      </c>
      <c r="CH50" s="1">
        <f t="shared" si="75"/>
        <v>0</v>
      </c>
      <c r="CI50" s="1">
        <f t="shared" si="76"/>
        <v>1.0353335344287187E-6</v>
      </c>
      <c r="CJ50" s="1">
        <f t="shared" si="77"/>
        <v>7.4838755413734613E-4</v>
      </c>
      <c r="CK50" s="1">
        <f t="shared" si="78"/>
        <v>0</v>
      </c>
      <c r="CL50" s="1">
        <f t="shared" si="79"/>
        <v>1.1489395486956098E-2</v>
      </c>
      <c r="CM50" s="1">
        <f t="shared" si="80"/>
        <v>0</v>
      </c>
      <c r="CN50" s="1">
        <f t="shared" si="81"/>
        <v>1.6860428457910601E-8</v>
      </c>
      <c r="CO50" s="1">
        <f t="shared" si="82"/>
        <v>0</v>
      </c>
      <c r="CP50" s="1">
        <f t="shared" si="83"/>
        <v>0</v>
      </c>
      <c r="CQ50" s="1">
        <f t="shared" si="84"/>
        <v>0</v>
      </c>
      <c r="CR50" s="1">
        <f t="shared" si="85"/>
        <v>0</v>
      </c>
      <c r="CS50" s="1">
        <f t="shared" si="86"/>
        <v>1.409603321061603E-3</v>
      </c>
      <c r="CT50" s="1">
        <f t="shared" si="87"/>
        <v>6.6816880116607312E-5</v>
      </c>
    </row>
    <row r="51" spans="1:98" x14ac:dyDescent="0.25">
      <c r="A51" s="14"/>
      <c r="B51" s="11"/>
      <c r="C51" t="s">
        <v>6</v>
      </c>
      <c r="D51">
        <v>0</v>
      </c>
      <c r="E51">
        <v>0.60532624000000002</v>
      </c>
      <c r="F51">
        <v>7.4403000000000004E-3</v>
      </c>
      <c r="G51">
        <v>1.5531200000000001E-3</v>
      </c>
      <c r="H51">
        <v>1.5113109199999999</v>
      </c>
      <c r="I51">
        <v>0.67599482</v>
      </c>
      <c r="J51">
        <v>59.87413566</v>
      </c>
      <c r="K51">
        <v>9.9219139999999997E-2</v>
      </c>
      <c r="L51">
        <v>3.4839790000000002E-2</v>
      </c>
      <c r="M51">
        <v>9.0859993899999996</v>
      </c>
      <c r="N51">
        <v>0.26908391999999998</v>
      </c>
      <c r="O51">
        <v>3.0615846100000002</v>
      </c>
      <c r="P51">
        <v>7.9455719999999994E-2</v>
      </c>
      <c r="Q51">
        <v>6.9277920000000007E-2</v>
      </c>
      <c r="R51">
        <v>2.6397E-3</v>
      </c>
      <c r="S51">
        <v>4.9196219999999999E-2</v>
      </c>
      <c r="T51">
        <v>0.56545182999999999</v>
      </c>
      <c r="U51">
        <v>6.9991159999999997E-2</v>
      </c>
      <c r="V51">
        <v>0.14529842000000001</v>
      </c>
      <c r="W51">
        <v>0.11421355</v>
      </c>
      <c r="X51">
        <v>0</v>
      </c>
      <c r="Y51">
        <v>0</v>
      </c>
      <c r="Z51">
        <v>0</v>
      </c>
      <c r="AA51">
        <v>0</v>
      </c>
      <c r="AB51">
        <v>0</v>
      </c>
      <c r="AC51">
        <v>1.2407449800000001</v>
      </c>
      <c r="AD51">
        <v>0.62730790999999997</v>
      </c>
      <c r="AE51">
        <v>44.856380710000003</v>
      </c>
      <c r="AF51">
        <v>2.3238899999999999E-3</v>
      </c>
      <c r="AG51">
        <v>0</v>
      </c>
      <c r="AH51">
        <v>1.23711E-3</v>
      </c>
      <c r="AI51">
        <v>0.28261720000000001</v>
      </c>
      <c r="AJ51">
        <v>0</v>
      </c>
      <c r="AK51">
        <v>2.83764189</v>
      </c>
      <c r="AL51">
        <v>0</v>
      </c>
      <c r="AM51">
        <v>8.6000000000000002E-7</v>
      </c>
      <c r="AN51">
        <v>0</v>
      </c>
      <c r="AO51">
        <v>0</v>
      </c>
      <c r="AP51">
        <v>0</v>
      </c>
      <c r="AQ51">
        <v>0</v>
      </c>
      <c r="AR51">
        <v>0.21942134999999999</v>
      </c>
      <c r="AS51">
        <v>1.3477899999999999E-2</v>
      </c>
      <c r="AT51" s="4">
        <v>1.4532715199999999</v>
      </c>
      <c r="AU51">
        <v>0.79369931000000005</v>
      </c>
      <c r="AV51">
        <v>14.02546291</v>
      </c>
      <c r="AW51">
        <v>11.49711609</v>
      </c>
      <c r="AX51">
        <v>0.28137600000000001</v>
      </c>
      <c r="AY51" s="4">
        <v>0</v>
      </c>
      <c r="BB51" s="18"/>
      <c r="BC51" s="1">
        <f t="shared" si="1"/>
        <v>140.42862914000003</v>
      </c>
      <c r="BD51" t="s">
        <v>6</v>
      </c>
      <c r="BE51" s="1">
        <f t="shared" si="46"/>
        <v>0</v>
      </c>
      <c r="BF51" s="1">
        <f t="shared" si="47"/>
        <v>4.3105614838447317E-3</v>
      </c>
      <c r="BG51" s="1">
        <f t="shared" si="48"/>
        <v>5.2982785957288017E-5</v>
      </c>
      <c r="BH51" s="1">
        <f t="shared" si="49"/>
        <v>1.1059853033611974E-5</v>
      </c>
      <c r="BI51" s="1">
        <f t="shared" si="50"/>
        <v>1.0762128272955664E-2</v>
      </c>
      <c r="BJ51" s="1">
        <f t="shared" si="51"/>
        <v>4.8137963329832724E-3</v>
      </c>
      <c r="BK51" s="1">
        <f t="shared" si="52"/>
        <v>0.42636701665946342</v>
      </c>
      <c r="BL51" s="1">
        <f t="shared" si="53"/>
        <v>7.0654495887077047E-4</v>
      </c>
      <c r="BM51" s="1">
        <f t="shared" si="54"/>
        <v>2.4809606284247456E-4</v>
      </c>
      <c r="BN51" s="1">
        <f t="shared" si="55"/>
        <v>6.4701901924441141E-2</v>
      </c>
      <c r="BO51" s="1">
        <f t="shared" si="56"/>
        <v>1.9161614098770225E-3</v>
      </c>
      <c r="BP51" s="1">
        <f t="shared" si="57"/>
        <v>2.1801712576341965E-2</v>
      </c>
      <c r="BQ51" s="1">
        <f t="shared" si="58"/>
        <v>5.6580855689181999E-4</v>
      </c>
      <c r="BR51" s="1">
        <f t="shared" si="59"/>
        <v>4.9333188270985352E-4</v>
      </c>
      <c r="BS51" s="1">
        <f t="shared" si="60"/>
        <v>1.879744903988457E-5</v>
      </c>
      <c r="BT51" s="1">
        <f t="shared" si="61"/>
        <v>3.5032899132664703E-4</v>
      </c>
      <c r="BU51" s="1">
        <f t="shared" si="62"/>
        <v>4.0266136147798894E-3</v>
      </c>
      <c r="BV51" s="1">
        <f t="shared" si="63"/>
        <v>4.9841090402030807E-4</v>
      </c>
      <c r="BW51" s="1">
        <f t="shared" si="64"/>
        <v>1.0346780488410597E-3</v>
      </c>
      <c r="BX51" s="1">
        <f t="shared" si="65"/>
        <v>8.1332097806163892E-4</v>
      </c>
      <c r="BY51" s="1">
        <f t="shared" si="66"/>
        <v>0</v>
      </c>
      <c r="BZ51" s="1">
        <f t="shared" si="67"/>
        <v>0</v>
      </c>
      <c r="CA51" s="1">
        <f t="shared" si="68"/>
        <v>0</v>
      </c>
      <c r="CB51" s="1">
        <f t="shared" si="69"/>
        <v>0</v>
      </c>
      <c r="CC51" s="1">
        <f t="shared" si="70"/>
        <v>0</v>
      </c>
      <c r="CD51" s="1">
        <f t="shared" si="71"/>
        <v>8.8354133170597433E-3</v>
      </c>
      <c r="CE51" s="1">
        <f t="shared" si="72"/>
        <v>4.4670941662088483E-3</v>
      </c>
      <c r="CF51" s="1">
        <f t="shared" si="73"/>
        <v>0.31942475679428967</v>
      </c>
      <c r="CG51" s="1">
        <f t="shared" si="74"/>
        <v>1.6548548641624941E-5</v>
      </c>
      <c r="CH51" s="1">
        <f t="shared" si="75"/>
        <v>0</v>
      </c>
      <c r="CI51" s="1">
        <f t="shared" si="76"/>
        <v>8.8095284243404936E-6</v>
      </c>
      <c r="CJ51" s="1">
        <f t="shared" si="77"/>
        <v>2.012532641889179E-3</v>
      </c>
      <c r="CK51" s="1">
        <f t="shared" si="78"/>
        <v>0</v>
      </c>
      <c r="CL51" s="1">
        <f t="shared" si="79"/>
        <v>2.0207004137105255E-2</v>
      </c>
      <c r="CM51" s="1">
        <f t="shared" si="80"/>
        <v>0</v>
      </c>
      <c r="CN51" s="1">
        <f t="shared" si="81"/>
        <v>6.1241073509492487E-9</v>
      </c>
      <c r="CO51" s="1">
        <f t="shared" si="82"/>
        <v>0</v>
      </c>
      <c r="CP51" s="1">
        <f t="shared" si="83"/>
        <v>0</v>
      </c>
      <c r="CQ51" s="1">
        <f t="shared" si="84"/>
        <v>0</v>
      </c>
      <c r="CR51" s="1">
        <f t="shared" si="85"/>
        <v>0</v>
      </c>
      <c r="CS51" s="1">
        <f t="shared" si="86"/>
        <v>1.5625115145234975E-3</v>
      </c>
      <c r="CT51" s="1">
        <f t="shared" si="87"/>
        <v>9.5976867982975429E-5</v>
      </c>
    </row>
    <row r="52" spans="1:98" x14ac:dyDescent="0.25">
      <c r="A52" s="14"/>
      <c r="B52" s="11"/>
      <c r="C52" t="s">
        <v>7</v>
      </c>
      <c r="D52">
        <v>0</v>
      </c>
      <c r="E52">
        <v>1.60065941</v>
      </c>
      <c r="F52">
        <v>1.7671388100000001</v>
      </c>
      <c r="G52">
        <v>3.1437499999999998E-3</v>
      </c>
      <c r="H52">
        <v>1.20639619</v>
      </c>
      <c r="I52">
        <v>0.37733222</v>
      </c>
      <c r="J52">
        <v>14.474108790000001</v>
      </c>
      <c r="K52">
        <v>213.19464349</v>
      </c>
      <c r="L52">
        <v>0.51667766999999998</v>
      </c>
      <c r="M52">
        <v>23.463305980000001</v>
      </c>
      <c r="N52">
        <v>250.27869458000001</v>
      </c>
      <c r="O52">
        <v>0.81968070999999998</v>
      </c>
      <c r="P52">
        <v>0.53895567</v>
      </c>
      <c r="Q52">
        <v>0.10691491</v>
      </c>
      <c r="R52">
        <v>1.012335E-2</v>
      </c>
      <c r="S52">
        <v>0.67578152999999996</v>
      </c>
      <c r="T52">
        <v>3.92197548</v>
      </c>
      <c r="U52">
        <v>0.52163453000000004</v>
      </c>
      <c r="V52">
        <v>1.0802457000000001</v>
      </c>
      <c r="W52">
        <v>0.46101196999999999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1.52724305</v>
      </c>
      <c r="AD52">
        <v>0.69825451000000005</v>
      </c>
      <c r="AE52">
        <v>0.37403711000000001</v>
      </c>
      <c r="AF52">
        <v>6.9247645499999999</v>
      </c>
      <c r="AG52">
        <v>0</v>
      </c>
      <c r="AH52">
        <v>1.3456900000000001E-3</v>
      </c>
      <c r="AI52">
        <v>0.36113654000000001</v>
      </c>
      <c r="AJ52">
        <v>0</v>
      </c>
      <c r="AK52">
        <v>4.3857010000000001</v>
      </c>
      <c r="AL52">
        <v>0</v>
      </c>
      <c r="AM52">
        <v>3.8000000000000001E-7</v>
      </c>
      <c r="AN52">
        <v>0</v>
      </c>
      <c r="AO52">
        <v>0</v>
      </c>
      <c r="AP52">
        <v>0</v>
      </c>
      <c r="AQ52">
        <v>0</v>
      </c>
      <c r="AR52">
        <v>0.56359667999999996</v>
      </c>
      <c r="AS52">
        <v>2.8241289999999999E-2</v>
      </c>
      <c r="AT52" s="4">
        <v>2.51000669</v>
      </c>
      <c r="AU52">
        <v>1.41226528</v>
      </c>
      <c r="AV52">
        <v>90.356832470000001</v>
      </c>
      <c r="AW52">
        <v>75.682347300000004</v>
      </c>
      <c r="AX52">
        <v>10.7522132</v>
      </c>
      <c r="AY52" s="4">
        <v>0</v>
      </c>
      <c r="BB52" s="18"/>
      <c r="BC52" s="1">
        <f t="shared" si="1"/>
        <v>620.23957800999995</v>
      </c>
      <c r="BD52" t="s">
        <v>7</v>
      </c>
      <c r="BE52" s="1">
        <f t="shared" si="46"/>
        <v>0</v>
      </c>
      <c r="BF52" s="1">
        <f t="shared" si="47"/>
        <v>2.5807114972179234E-3</v>
      </c>
      <c r="BG52" s="1">
        <f t="shared" si="48"/>
        <v>2.8491229399932117E-3</v>
      </c>
      <c r="BH52" s="1">
        <f t="shared" si="49"/>
        <v>5.0686059249661655E-6</v>
      </c>
      <c r="BI52" s="1">
        <f t="shared" si="50"/>
        <v>1.9450487082276287E-3</v>
      </c>
      <c r="BJ52" s="1">
        <f t="shared" si="51"/>
        <v>6.0836527267519257E-4</v>
      </c>
      <c r="BK52" s="1">
        <f t="shared" si="52"/>
        <v>2.3336319227546358E-2</v>
      </c>
      <c r="BL52" s="1">
        <f t="shared" si="53"/>
        <v>0.34372950557915338</v>
      </c>
      <c r="BM52" s="1">
        <f t="shared" si="54"/>
        <v>8.3302918471879549E-4</v>
      </c>
      <c r="BN52" s="1">
        <f t="shared" si="55"/>
        <v>3.782942400302889E-2</v>
      </c>
      <c r="BO52" s="1">
        <f t="shared" si="56"/>
        <v>0.40351938743252019</v>
      </c>
      <c r="BP52" s="1">
        <f t="shared" si="57"/>
        <v>1.3215549911050411E-3</v>
      </c>
      <c r="BQ52" s="1">
        <f t="shared" si="58"/>
        <v>8.6894756334190363E-4</v>
      </c>
      <c r="BR52" s="1">
        <f t="shared" si="59"/>
        <v>1.7237679404953458E-4</v>
      </c>
      <c r="BS52" s="1">
        <f t="shared" si="60"/>
        <v>1.6321676911493036E-5</v>
      </c>
      <c r="BT52" s="1">
        <f t="shared" si="61"/>
        <v>1.089549190279348E-3</v>
      </c>
      <c r="BU52" s="1">
        <f t="shared" si="62"/>
        <v>6.3233234689463284E-3</v>
      </c>
      <c r="BV52" s="1">
        <f t="shared" si="63"/>
        <v>8.4102103202383818E-4</v>
      </c>
      <c r="BW52" s="1">
        <f t="shared" si="64"/>
        <v>1.7416587691257968E-3</v>
      </c>
      <c r="BX52" s="1">
        <f t="shared" si="65"/>
        <v>7.4328047797131587E-4</v>
      </c>
      <c r="BY52" s="1">
        <f t="shared" si="66"/>
        <v>0</v>
      </c>
      <c r="BZ52" s="1">
        <f t="shared" si="67"/>
        <v>0</v>
      </c>
      <c r="CA52" s="1">
        <f t="shared" si="68"/>
        <v>0</v>
      </c>
      <c r="CB52" s="1">
        <f t="shared" si="69"/>
        <v>0</v>
      </c>
      <c r="CC52" s="1">
        <f t="shared" si="70"/>
        <v>0</v>
      </c>
      <c r="CD52" s="1">
        <f t="shared" si="71"/>
        <v>2.46234375255456E-3</v>
      </c>
      <c r="CE52" s="1">
        <f t="shared" si="72"/>
        <v>1.1257819312987187E-3</v>
      </c>
      <c r="CF52" s="1">
        <f t="shared" si="73"/>
        <v>6.0305263201692932E-4</v>
      </c>
      <c r="CG52" s="1">
        <f t="shared" si="74"/>
        <v>1.1164660875427647E-2</v>
      </c>
      <c r="CH52" s="1">
        <f t="shared" si="75"/>
        <v>0</v>
      </c>
      <c r="CI52" s="1">
        <f t="shared" si="76"/>
        <v>2.1696293621209448E-6</v>
      </c>
      <c r="CJ52" s="1">
        <f t="shared" si="77"/>
        <v>5.8225329824756447E-4</v>
      </c>
      <c r="CK52" s="1">
        <f t="shared" si="78"/>
        <v>0</v>
      </c>
      <c r="CL52" s="1">
        <f t="shared" si="79"/>
        <v>7.0709789498942469E-3</v>
      </c>
      <c r="CM52" s="1">
        <f t="shared" si="80"/>
        <v>0</v>
      </c>
      <c r="CN52" s="1">
        <f t="shared" si="81"/>
        <v>6.1266648158636755E-10</v>
      </c>
      <c r="CO52" s="1">
        <f t="shared" si="82"/>
        <v>0</v>
      </c>
      <c r="CP52" s="1">
        <f t="shared" si="83"/>
        <v>0</v>
      </c>
      <c r="CQ52" s="1">
        <f t="shared" si="84"/>
        <v>0</v>
      </c>
      <c r="CR52" s="1">
        <f t="shared" si="85"/>
        <v>0</v>
      </c>
      <c r="CS52" s="1">
        <f t="shared" si="86"/>
        <v>9.0867577623515228E-4</v>
      </c>
      <c r="CT52" s="1">
        <f t="shared" si="87"/>
        <v>4.5532873104632278E-5</v>
      </c>
    </row>
    <row r="53" spans="1:98" x14ac:dyDescent="0.25">
      <c r="A53" s="14"/>
      <c r="B53" s="11"/>
      <c r="C53" t="s">
        <v>8</v>
      </c>
      <c r="D53">
        <v>1.021356E-2</v>
      </c>
      <c r="E53">
        <v>0.26869600999999999</v>
      </c>
      <c r="F53">
        <v>5.6363699999999999E-3</v>
      </c>
      <c r="G53">
        <v>8.9274000000000005E-4</v>
      </c>
      <c r="H53">
        <v>8.8658499999999998E-3</v>
      </c>
      <c r="I53">
        <v>1.3541000000000001E-4</v>
      </c>
      <c r="J53">
        <v>2.8379999999999998E-3</v>
      </c>
      <c r="K53">
        <v>2.9357799999999998E-3</v>
      </c>
      <c r="L53">
        <v>48.289937399999999</v>
      </c>
      <c r="M53">
        <v>16.672494919999998</v>
      </c>
      <c r="N53">
        <v>0.48831972000000001</v>
      </c>
      <c r="O53">
        <v>2.338405E-2</v>
      </c>
      <c r="P53">
        <v>0.12710581000000001</v>
      </c>
      <c r="Q53">
        <v>1.506237E-2</v>
      </c>
      <c r="R53">
        <v>8.6572000000000005E-4</v>
      </c>
      <c r="S53">
        <v>2.7183539999999999E-2</v>
      </c>
      <c r="T53">
        <v>2.2765770000000001E-2</v>
      </c>
      <c r="U53">
        <v>2.38083E-3</v>
      </c>
      <c r="V53">
        <v>7.4537439999999996E-2</v>
      </c>
      <c r="W53">
        <v>0.53301677000000003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0.53691288000000004</v>
      </c>
      <c r="AD53">
        <v>9.3348299999999995E-2</v>
      </c>
      <c r="AE53">
        <v>1.324735E-2</v>
      </c>
      <c r="AF53">
        <v>24.8761063</v>
      </c>
      <c r="AG53">
        <v>2227.83795689</v>
      </c>
      <c r="AH53">
        <v>8.8006E-4</v>
      </c>
      <c r="AI53">
        <v>0.45539457999999999</v>
      </c>
      <c r="AJ53">
        <v>0</v>
      </c>
      <c r="AK53">
        <v>2.9845021799999998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0.20483493999999999</v>
      </c>
      <c r="AS53">
        <v>7.1193999999999997E-3</v>
      </c>
      <c r="AT53" s="4">
        <v>0</v>
      </c>
      <c r="AU53">
        <v>2.2081744400000001</v>
      </c>
      <c r="AV53">
        <v>39.42289229</v>
      </c>
      <c r="AW53">
        <v>14.313236440000001</v>
      </c>
      <c r="AX53">
        <v>22.901481409999999</v>
      </c>
      <c r="AY53" s="4">
        <v>0</v>
      </c>
      <c r="BB53" s="18"/>
      <c r="BC53" s="1">
        <f t="shared" si="1"/>
        <v>2363.0104632300004</v>
      </c>
      <c r="BD53" t="s">
        <v>8</v>
      </c>
      <c r="BE53" s="1">
        <f t="shared" si="46"/>
        <v>4.3222660918898683E-6</v>
      </c>
      <c r="BF53" s="1">
        <f t="shared" si="47"/>
        <v>1.137091918047283E-4</v>
      </c>
      <c r="BG53" s="1">
        <f t="shared" si="48"/>
        <v>2.3852497006279194E-6</v>
      </c>
      <c r="BH53" s="1">
        <f t="shared" si="49"/>
        <v>3.7779773466585217E-7</v>
      </c>
      <c r="BI53" s="1">
        <f t="shared" si="50"/>
        <v>3.7519300646181924E-6</v>
      </c>
      <c r="BJ53" s="1">
        <f t="shared" si="51"/>
        <v>5.7304020488723526E-8</v>
      </c>
      <c r="BK53" s="1">
        <f t="shared" si="52"/>
        <v>1.2010103400561062E-6</v>
      </c>
      <c r="BL53" s="1">
        <f t="shared" si="53"/>
        <v>1.2423897590309781E-6</v>
      </c>
      <c r="BM53" s="1">
        <f t="shared" si="54"/>
        <v>2.043576960467304E-2</v>
      </c>
      <c r="BN53" s="1">
        <f t="shared" si="55"/>
        <v>7.0556162062906632E-3</v>
      </c>
      <c r="BO53" s="1">
        <f t="shared" si="56"/>
        <v>2.0665152677001503E-4</v>
      </c>
      <c r="BP53" s="1">
        <f t="shared" si="57"/>
        <v>9.8958723898481299E-6</v>
      </c>
      <c r="BQ53" s="1">
        <f t="shared" si="58"/>
        <v>5.3789778749544345E-5</v>
      </c>
      <c r="BR53" s="1">
        <f t="shared" si="59"/>
        <v>6.3742290753174396E-6</v>
      </c>
      <c r="BS53" s="1">
        <f t="shared" si="60"/>
        <v>3.6636316828519113E-7</v>
      </c>
      <c r="BT53" s="1">
        <f t="shared" si="61"/>
        <v>1.1503774707304006E-5</v>
      </c>
      <c r="BU53" s="1">
        <f t="shared" si="62"/>
        <v>9.6342231040659288E-6</v>
      </c>
      <c r="BV53" s="1">
        <f t="shared" si="63"/>
        <v>1.0075410316827977E-6</v>
      </c>
      <c r="BW53" s="1">
        <f t="shared" si="64"/>
        <v>3.1543423594542498E-5</v>
      </c>
      <c r="BX53" s="1">
        <f t="shared" si="65"/>
        <v>2.2556682600187013E-4</v>
      </c>
      <c r="BY53" s="1">
        <f t="shared" si="66"/>
        <v>0</v>
      </c>
      <c r="BZ53" s="1">
        <f t="shared" si="67"/>
        <v>0</v>
      </c>
      <c r="CA53" s="1">
        <f t="shared" si="68"/>
        <v>0</v>
      </c>
      <c r="CB53" s="1">
        <f t="shared" si="69"/>
        <v>0</v>
      </c>
      <c r="CC53" s="1">
        <f t="shared" si="70"/>
        <v>0</v>
      </c>
      <c r="CD53" s="1">
        <f t="shared" si="71"/>
        <v>2.2721561683907804E-4</v>
      </c>
      <c r="CE53" s="1">
        <f t="shared" si="72"/>
        <v>3.9503972349069565E-5</v>
      </c>
      <c r="CF53" s="1">
        <f t="shared" si="73"/>
        <v>5.6061326033623185E-6</v>
      </c>
      <c r="CG53" s="1">
        <f t="shared" si="74"/>
        <v>1.0527294181337157E-2</v>
      </c>
      <c r="CH53" s="1">
        <f t="shared" si="75"/>
        <v>0.94279648421224804</v>
      </c>
      <c r="CI53" s="1">
        <f t="shared" si="76"/>
        <v>3.7243169833325471E-7</v>
      </c>
      <c r="CJ53" s="1">
        <f t="shared" si="77"/>
        <v>1.9271797018516833E-4</v>
      </c>
      <c r="CK53" s="1">
        <f t="shared" si="78"/>
        <v>0</v>
      </c>
      <c r="CL53" s="1">
        <f t="shared" si="79"/>
        <v>1.263008448942914E-3</v>
      </c>
      <c r="CM53" s="1">
        <f t="shared" si="80"/>
        <v>0</v>
      </c>
      <c r="CN53" s="1">
        <f t="shared" si="81"/>
        <v>0</v>
      </c>
      <c r="CO53" s="1">
        <f t="shared" si="82"/>
        <v>0</v>
      </c>
      <c r="CP53" s="1">
        <f t="shared" si="83"/>
        <v>0</v>
      </c>
      <c r="CQ53" s="1">
        <f t="shared" si="84"/>
        <v>0</v>
      </c>
      <c r="CR53" s="1">
        <f t="shared" si="85"/>
        <v>0</v>
      </c>
      <c r="CS53" s="1">
        <f t="shared" si="86"/>
        <v>8.6683890396325623E-5</v>
      </c>
      <c r="CT53" s="1">
        <f t="shared" si="87"/>
        <v>3.0128516613796485E-6</v>
      </c>
    </row>
    <row r="54" spans="1:98" x14ac:dyDescent="0.25">
      <c r="A54" s="14"/>
      <c r="B54" s="11"/>
      <c r="C54" t="s">
        <v>9</v>
      </c>
      <c r="D54">
        <v>0.85968661999999996</v>
      </c>
      <c r="E54">
        <v>2.5053650300000001</v>
      </c>
      <c r="F54">
        <v>85.023189239999994</v>
      </c>
      <c r="G54">
        <v>12.71965865</v>
      </c>
      <c r="H54">
        <v>1.9367014499999999</v>
      </c>
      <c r="I54">
        <v>5.5038400000000001E-2</v>
      </c>
      <c r="J54">
        <v>8.0125539999999995E-2</v>
      </c>
      <c r="K54">
        <v>6.6554091800000004</v>
      </c>
      <c r="L54">
        <v>248.27232602999999</v>
      </c>
      <c r="M54">
        <v>907.19983575000003</v>
      </c>
      <c r="N54">
        <v>22.305464090000001</v>
      </c>
      <c r="O54">
        <v>0.95350886999999995</v>
      </c>
      <c r="P54">
        <v>0.65142135000000001</v>
      </c>
      <c r="Q54">
        <v>0.12277005000000001</v>
      </c>
      <c r="R54">
        <v>6.7184200000000001E-3</v>
      </c>
      <c r="S54">
        <v>0.18509154999999999</v>
      </c>
      <c r="T54">
        <v>2.9447373400000001</v>
      </c>
      <c r="U54">
        <v>0.15599557999999999</v>
      </c>
      <c r="V54">
        <v>0.66522294000000004</v>
      </c>
      <c r="W54">
        <v>1.86617572</v>
      </c>
      <c r="X54">
        <v>0</v>
      </c>
      <c r="Y54">
        <v>0</v>
      </c>
      <c r="Z54">
        <v>0</v>
      </c>
      <c r="AA54">
        <v>0</v>
      </c>
      <c r="AB54">
        <v>0</v>
      </c>
      <c r="AC54">
        <v>7.7121703699999999</v>
      </c>
      <c r="AD54">
        <v>5.3101770200000002</v>
      </c>
      <c r="AE54">
        <v>30.357525949999999</v>
      </c>
      <c r="AF54">
        <v>2.6334613500000001</v>
      </c>
      <c r="AG54">
        <v>53.20465343</v>
      </c>
      <c r="AH54">
        <v>4.2626599999999997E-3</v>
      </c>
      <c r="AI54">
        <v>2.2242292300000002</v>
      </c>
      <c r="AJ54">
        <v>0</v>
      </c>
      <c r="AK54">
        <v>19.988341219999999</v>
      </c>
      <c r="AL54">
        <v>0</v>
      </c>
      <c r="AM54">
        <v>1.81E-6</v>
      </c>
      <c r="AN54">
        <v>0</v>
      </c>
      <c r="AO54">
        <v>0</v>
      </c>
      <c r="AP54">
        <v>0</v>
      </c>
      <c r="AQ54">
        <v>0</v>
      </c>
      <c r="AR54">
        <v>1.0803398200000001</v>
      </c>
      <c r="AS54">
        <v>0.13866719</v>
      </c>
      <c r="AT54" s="4">
        <v>0</v>
      </c>
      <c r="AU54">
        <v>20.252539980000002</v>
      </c>
      <c r="AV54">
        <v>364.25402077000001</v>
      </c>
      <c r="AW54">
        <v>329.60193349000002</v>
      </c>
      <c r="AX54">
        <v>14.399547310000001</v>
      </c>
      <c r="AY54" s="4">
        <v>0</v>
      </c>
      <c r="BB54" s="18"/>
      <c r="BC54" s="1">
        <f t="shared" si="1"/>
        <v>1782.0722926200001</v>
      </c>
      <c r="BD54" t="s">
        <v>9</v>
      </c>
      <c r="BE54" s="1">
        <f t="shared" si="46"/>
        <v>4.8240838688765536E-4</v>
      </c>
      <c r="BF54" s="1">
        <f t="shared" si="47"/>
        <v>1.4058717148430697E-3</v>
      </c>
      <c r="BG54" s="1">
        <f t="shared" si="48"/>
        <v>4.771029188439882E-2</v>
      </c>
      <c r="BH54" s="1">
        <f t="shared" si="49"/>
        <v>7.1375660250570282E-3</v>
      </c>
      <c r="BI54" s="1">
        <f t="shared" si="50"/>
        <v>1.0867692955108259E-3</v>
      </c>
      <c r="BJ54" s="1">
        <f t="shared" si="51"/>
        <v>3.0884493422588722E-5</v>
      </c>
      <c r="BK54" s="1">
        <f t="shared" si="52"/>
        <v>4.4962003130748157E-5</v>
      </c>
      <c r="BL54" s="1">
        <f t="shared" si="53"/>
        <v>3.7346460115909369E-3</v>
      </c>
      <c r="BM54" s="1">
        <f t="shared" si="54"/>
        <v>0.13931664111391934</v>
      </c>
      <c r="BN54" s="1">
        <f t="shared" si="55"/>
        <v>0.50907016483390588</v>
      </c>
      <c r="BO54" s="1">
        <f t="shared" si="56"/>
        <v>1.2516587672886458E-2</v>
      </c>
      <c r="BP54" s="1">
        <f t="shared" si="57"/>
        <v>5.3505622299876096E-4</v>
      </c>
      <c r="BQ54" s="1">
        <f t="shared" si="58"/>
        <v>3.6554148375332254E-4</v>
      </c>
      <c r="BR54" s="1">
        <f t="shared" si="59"/>
        <v>6.889173380250677E-5</v>
      </c>
      <c r="BS54" s="1">
        <f t="shared" si="60"/>
        <v>3.7700041843547148E-6</v>
      </c>
      <c r="BT54" s="1">
        <f t="shared" si="61"/>
        <v>1.038630984649218E-4</v>
      </c>
      <c r="BU54" s="1">
        <f t="shared" si="62"/>
        <v>1.6524230538765919E-3</v>
      </c>
      <c r="BV54" s="1">
        <f t="shared" si="63"/>
        <v>8.7536055998410441E-5</v>
      </c>
      <c r="BW54" s="1">
        <f t="shared" si="64"/>
        <v>3.7328616956497888E-4</v>
      </c>
      <c r="BX54" s="1">
        <f t="shared" si="65"/>
        <v>1.0471941726092106E-3</v>
      </c>
      <c r="BY54" s="1">
        <f t="shared" si="66"/>
        <v>0</v>
      </c>
      <c r="BZ54" s="1">
        <f t="shared" si="67"/>
        <v>0</v>
      </c>
      <c r="CA54" s="1">
        <f t="shared" si="68"/>
        <v>0</v>
      </c>
      <c r="CB54" s="1">
        <f t="shared" si="69"/>
        <v>0</v>
      </c>
      <c r="CC54" s="1">
        <f t="shared" si="70"/>
        <v>0</v>
      </c>
      <c r="CD54" s="1">
        <f t="shared" si="71"/>
        <v>4.3276417022687546E-3</v>
      </c>
      <c r="CE54" s="1">
        <f t="shared" si="72"/>
        <v>2.9797764333078687E-3</v>
      </c>
      <c r="CF54" s="1">
        <f t="shared" si="73"/>
        <v>1.703495760285258E-2</v>
      </c>
      <c r="CG54" s="1">
        <f t="shared" si="74"/>
        <v>1.4777522555655075E-3</v>
      </c>
      <c r="CH54" s="1">
        <f t="shared" si="75"/>
        <v>2.9855496687947826E-2</v>
      </c>
      <c r="CI54" s="1">
        <f t="shared" si="76"/>
        <v>2.3919680574422954E-6</v>
      </c>
      <c r="CJ54" s="1">
        <f t="shared" si="77"/>
        <v>1.248113917269844E-3</v>
      </c>
      <c r="CK54" s="1">
        <f t="shared" si="78"/>
        <v>0</v>
      </c>
      <c r="CL54" s="1">
        <f t="shared" si="79"/>
        <v>1.1216347003865465E-2</v>
      </c>
      <c r="CM54" s="1">
        <f t="shared" si="80"/>
        <v>0</v>
      </c>
      <c r="CN54" s="1">
        <f t="shared" si="81"/>
        <v>1.0156714783657517E-9</v>
      </c>
      <c r="CO54" s="1">
        <f t="shared" si="82"/>
        <v>0</v>
      </c>
      <c r="CP54" s="1">
        <f t="shared" si="83"/>
        <v>0</v>
      </c>
      <c r="CQ54" s="1">
        <f t="shared" si="84"/>
        <v>0</v>
      </c>
      <c r="CR54" s="1">
        <f t="shared" si="85"/>
        <v>0</v>
      </c>
      <c r="CS54" s="1">
        <f t="shared" si="86"/>
        <v>6.0622670835181781E-4</v>
      </c>
      <c r="CT54" s="1">
        <f t="shared" si="87"/>
        <v>7.7812325893991473E-5</v>
      </c>
    </row>
    <row r="55" spans="1:98" x14ac:dyDescent="0.25">
      <c r="A55" s="14"/>
      <c r="B55" s="11"/>
      <c r="C55" t="s">
        <v>10</v>
      </c>
      <c r="D55">
        <v>1398.01224052</v>
      </c>
      <c r="E55">
        <v>0.74709798999999999</v>
      </c>
      <c r="F55">
        <v>0.25726026000000002</v>
      </c>
      <c r="G55">
        <v>7.7090300000000004E-3</v>
      </c>
      <c r="H55">
        <v>8.4496790000000002E-2</v>
      </c>
      <c r="I55">
        <v>2.4504399999999999E-3</v>
      </c>
      <c r="J55">
        <v>6.7129900000000003E-3</v>
      </c>
      <c r="K55">
        <v>3.055983E-2</v>
      </c>
      <c r="L55">
        <v>5.51530319</v>
      </c>
      <c r="M55">
        <v>7.8779274900000003</v>
      </c>
      <c r="N55">
        <v>751.21338863999995</v>
      </c>
      <c r="O55">
        <v>2.4428879399999999</v>
      </c>
      <c r="P55">
        <v>0.3989432</v>
      </c>
      <c r="Q55">
        <v>0.95544404999999999</v>
      </c>
      <c r="R55">
        <v>4.6412399999999996E-3</v>
      </c>
      <c r="S55">
        <v>3.4821280000000003E-2</v>
      </c>
      <c r="T55">
        <v>0.39925328999999998</v>
      </c>
      <c r="U55">
        <v>0.1512191</v>
      </c>
      <c r="V55">
        <v>109.86268751</v>
      </c>
      <c r="W55">
        <v>1.99423872</v>
      </c>
      <c r="X55">
        <v>0</v>
      </c>
      <c r="Y55">
        <v>0</v>
      </c>
      <c r="Z55">
        <v>0</v>
      </c>
      <c r="AA55">
        <v>0</v>
      </c>
      <c r="AB55">
        <v>0</v>
      </c>
      <c r="AC55">
        <v>1.3968166200000001</v>
      </c>
      <c r="AD55">
        <v>6.7121095799999999</v>
      </c>
      <c r="AE55">
        <v>4.2736900000000001E-3</v>
      </c>
      <c r="AF55">
        <v>44.791390620000001</v>
      </c>
      <c r="AG55">
        <v>8.0000000000000002E-8</v>
      </c>
      <c r="AH55">
        <v>9.3660199999999992E-3</v>
      </c>
      <c r="AI55">
        <v>1.9188739800000001</v>
      </c>
      <c r="AJ55">
        <v>0</v>
      </c>
      <c r="AK55">
        <v>11.261285600000001</v>
      </c>
      <c r="AL55">
        <v>0</v>
      </c>
      <c r="AM55">
        <v>2.3999999999999998E-7</v>
      </c>
      <c r="AN55">
        <v>0</v>
      </c>
      <c r="AO55">
        <v>0</v>
      </c>
      <c r="AP55">
        <v>0</v>
      </c>
      <c r="AQ55">
        <v>0</v>
      </c>
      <c r="AR55">
        <v>1.5498545500000001</v>
      </c>
      <c r="AS55">
        <v>4.1168940000000001E-2</v>
      </c>
      <c r="AT55" s="4">
        <v>0</v>
      </c>
      <c r="AU55">
        <v>6.6679693200000001</v>
      </c>
      <c r="AV55">
        <v>15.55214119</v>
      </c>
      <c r="AW55">
        <v>0</v>
      </c>
      <c r="AX55">
        <v>8.8841718600000004</v>
      </c>
      <c r="AY55" s="4">
        <v>0</v>
      </c>
      <c r="BB55" s="18"/>
      <c r="BC55" s="1">
        <f t="shared" si="1"/>
        <v>2363.2365646100006</v>
      </c>
      <c r="BD55" t="s">
        <v>10</v>
      </c>
      <c r="BE55" s="1">
        <f t="shared" si="46"/>
        <v>0.59156677814466307</v>
      </c>
      <c r="BF55" s="1">
        <f t="shared" si="47"/>
        <v>3.1613339146319944E-4</v>
      </c>
      <c r="BG55" s="1">
        <f t="shared" si="48"/>
        <v>1.0885929231653331E-4</v>
      </c>
      <c r="BH55" s="1">
        <f t="shared" si="49"/>
        <v>3.2620644566204075E-6</v>
      </c>
      <c r="BI55" s="1">
        <f t="shared" si="50"/>
        <v>3.5754689676589489E-5</v>
      </c>
      <c r="BJ55" s="1">
        <f t="shared" si="51"/>
        <v>1.0369000026048556E-6</v>
      </c>
      <c r="BK55" s="1">
        <f t="shared" si="52"/>
        <v>2.8405916278245419E-6</v>
      </c>
      <c r="BL55" s="1">
        <f t="shared" si="53"/>
        <v>1.2931346128288776E-5</v>
      </c>
      <c r="BM55" s="1">
        <f t="shared" si="54"/>
        <v>2.3337922544839169E-3</v>
      </c>
      <c r="BN55" s="1">
        <f t="shared" si="55"/>
        <v>3.3335331756345248E-3</v>
      </c>
      <c r="BO55" s="1">
        <f t="shared" si="56"/>
        <v>0.31787481621162667</v>
      </c>
      <c r="BP55" s="1">
        <f t="shared" si="57"/>
        <v>1.0337043597677849E-3</v>
      </c>
      <c r="BQ55" s="1">
        <f t="shared" si="58"/>
        <v>1.68812215405882E-4</v>
      </c>
      <c r="BR55" s="1">
        <f t="shared" si="59"/>
        <v>4.0429471357543705E-4</v>
      </c>
      <c r="BS55" s="1">
        <f t="shared" si="60"/>
        <v>1.9639337294892998E-6</v>
      </c>
      <c r="BT55" s="1">
        <f t="shared" si="61"/>
        <v>1.4734572290161935E-5</v>
      </c>
      <c r="BU55" s="1">
        <f t="shared" si="62"/>
        <v>1.6894342952326815E-4</v>
      </c>
      <c r="BV55" s="1">
        <f t="shared" si="63"/>
        <v>6.3988134859006515E-5</v>
      </c>
      <c r="BW55" s="1">
        <f t="shared" si="64"/>
        <v>4.6488231079028851E-2</v>
      </c>
      <c r="BX55" s="1">
        <f t="shared" si="65"/>
        <v>8.4385911671483655E-4</v>
      </c>
      <c r="BY55" s="1">
        <f t="shared" si="66"/>
        <v>0</v>
      </c>
      <c r="BZ55" s="1">
        <f t="shared" si="67"/>
        <v>0</v>
      </c>
      <c r="CA55" s="1">
        <f t="shared" si="68"/>
        <v>0</v>
      </c>
      <c r="CB55" s="1">
        <f t="shared" si="69"/>
        <v>0</v>
      </c>
      <c r="CC55" s="1">
        <f t="shared" si="70"/>
        <v>0</v>
      </c>
      <c r="CD55" s="1">
        <f t="shared" si="71"/>
        <v>5.9106085311883005E-4</v>
      </c>
      <c r="CE55" s="1">
        <f t="shared" si="72"/>
        <v>2.8402190794249512E-3</v>
      </c>
      <c r="CF55" s="1">
        <f t="shared" si="73"/>
        <v>1.8084054994745213E-6</v>
      </c>
      <c r="CG55" s="1">
        <f t="shared" si="74"/>
        <v>1.8953409612377008E-2</v>
      </c>
      <c r="CH55" s="1">
        <f t="shared" si="75"/>
        <v>3.3851879747469214E-11</v>
      </c>
      <c r="CI55" s="1">
        <f t="shared" si="76"/>
        <v>3.9632172844048945E-6</v>
      </c>
      <c r="CJ55" s="1">
        <f t="shared" si="77"/>
        <v>8.1196864026884558E-4</v>
      </c>
      <c r="CK55" s="1">
        <f t="shared" si="78"/>
        <v>0</v>
      </c>
      <c r="CL55" s="1">
        <f t="shared" si="79"/>
        <v>4.7651960741638341E-3</v>
      </c>
      <c r="CM55" s="1">
        <f t="shared" si="80"/>
        <v>0</v>
      </c>
      <c r="CN55" s="1">
        <f t="shared" si="81"/>
        <v>1.0155563924240764E-10</v>
      </c>
      <c r="CO55" s="1">
        <f t="shared" si="82"/>
        <v>0</v>
      </c>
      <c r="CP55" s="1">
        <f t="shared" si="83"/>
        <v>0</v>
      </c>
      <c r="CQ55" s="1">
        <f t="shared" si="84"/>
        <v>0</v>
      </c>
      <c r="CR55" s="1">
        <f t="shared" si="85"/>
        <v>0</v>
      </c>
      <c r="CS55" s="1">
        <f t="shared" si="86"/>
        <v>6.5581862315835019E-4</v>
      </c>
      <c r="CT55" s="1">
        <f t="shared" si="87"/>
        <v>1.7420575077634692E-5</v>
      </c>
    </row>
    <row r="56" spans="1:98" x14ac:dyDescent="0.25">
      <c r="A56" s="14"/>
      <c r="B56" s="11"/>
      <c r="C56" t="s">
        <v>11</v>
      </c>
      <c r="D56">
        <v>0.11399494</v>
      </c>
      <c r="E56">
        <v>1.0618480400000001</v>
      </c>
      <c r="F56">
        <v>0.47765414</v>
      </c>
      <c r="G56">
        <v>2.0003500000000001E-3</v>
      </c>
      <c r="H56">
        <v>0.17712190999999999</v>
      </c>
      <c r="I56">
        <v>3.5519309999999998E-2</v>
      </c>
      <c r="J56">
        <v>0.14127202999999999</v>
      </c>
      <c r="K56">
        <v>8.9988559999999995E-2</v>
      </c>
      <c r="L56">
        <v>0.14814506999999999</v>
      </c>
      <c r="M56">
        <v>2.4861255099999999</v>
      </c>
      <c r="N56">
        <v>115.86968117000001</v>
      </c>
      <c r="O56">
        <v>13.224180759999999</v>
      </c>
      <c r="P56">
        <v>4.1343835499999999</v>
      </c>
      <c r="Q56">
        <v>0.58525453999999999</v>
      </c>
      <c r="R56">
        <v>6.8192699999999997E-3</v>
      </c>
      <c r="S56">
        <v>0.63541236999999995</v>
      </c>
      <c r="T56">
        <v>2.0302175400000002</v>
      </c>
      <c r="U56">
        <v>0.51318934999999999</v>
      </c>
      <c r="V56">
        <v>0.72921111000000005</v>
      </c>
      <c r="W56">
        <v>0.46826921999999999</v>
      </c>
      <c r="X56">
        <v>0</v>
      </c>
      <c r="Y56">
        <v>0</v>
      </c>
      <c r="Z56">
        <v>0</v>
      </c>
      <c r="AA56">
        <v>0</v>
      </c>
      <c r="AB56">
        <v>0</v>
      </c>
      <c r="AC56">
        <v>1.7888514499999999</v>
      </c>
      <c r="AD56">
        <v>1.2987649699999999</v>
      </c>
      <c r="AE56">
        <v>5.0363700000000001E-3</v>
      </c>
      <c r="AF56">
        <v>4.1057100000000003E-3</v>
      </c>
      <c r="AG56">
        <v>0</v>
      </c>
      <c r="AH56">
        <v>2.8939500000000002E-3</v>
      </c>
      <c r="AI56">
        <v>0.53503714999999996</v>
      </c>
      <c r="AJ56">
        <v>0</v>
      </c>
      <c r="AK56">
        <v>6.5919586800000003</v>
      </c>
      <c r="AL56">
        <v>0</v>
      </c>
      <c r="AM56">
        <v>3.1599999999999998E-6</v>
      </c>
      <c r="AN56">
        <v>0</v>
      </c>
      <c r="AO56">
        <v>0</v>
      </c>
      <c r="AP56">
        <v>0</v>
      </c>
      <c r="AQ56">
        <v>0</v>
      </c>
      <c r="AR56">
        <v>0.32366377000000002</v>
      </c>
      <c r="AS56">
        <v>6.9387340000000006E-2</v>
      </c>
      <c r="AT56" s="4">
        <v>9.0271461899999998</v>
      </c>
      <c r="AU56">
        <v>0.58420282999999995</v>
      </c>
      <c r="AV56">
        <v>14.609328290000001</v>
      </c>
      <c r="AW56">
        <v>4.0110666799999999</v>
      </c>
      <c r="AX56">
        <v>0.98691258000000004</v>
      </c>
      <c r="AY56" s="4">
        <v>0</v>
      </c>
      <c r="BB56" s="18"/>
      <c r="BC56" s="1">
        <f t="shared" si="1"/>
        <v>168.15931958000002</v>
      </c>
      <c r="BD56" t="s">
        <v>11</v>
      </c>
      <c r="BE56" s="1">
        <f t="shared" si="46"/>
        <v>6.7789843753362784E-4</v>
      </c>
      <c r="BF56" s="1">
        <f t="shared" si="47"/>
        <v>6.3145357786419751E-3</v>
      </c>
      <c r="BG56" s="1">
        <f t="shared" si="48"/>
        <v>2.8404856846055513E-3</v>
      </c>
      <c r="BH56" s="1">
        <f t="shared" si="49"/>
        <v>1.1895564307682363E-5</v>
      </c>
      <c r="BI56" s="1">
        <f t="shared" si="50"/>
        <v>1.0532982081658349E-3</v>
      </c>
      <c r="BJ56" s="1">
        <f t="shared" si="51"/>
        <v>2.1122415390781874E-4</v>
      </c>
      <c r="BK56" s="1">
        <f t="shared" si="52"/>
        <v>8.401082399289284E-4</v>
      </c>
      <c r="BL56" s="1">
        <f t="shared" si="53"/>
        <v>5.3513870194502597E-4</v>
      </c>
      <c r="BM56" s="1">
        <f t="shared" si="54"/>
        <v>8.8098043194996122E-4</v>
      </c>
      <c r="BN56" s="1">
        <f t="shared" si="55"/>
        <v>1.4784345680093288E-2</v>
      </c>
      <c r="BO56" s="1">
        <f t="shared" si="56"/>
        <v>0.68904703860243821</v>
      </c>
      <c r="BP56" s="1">
        <f t="shared" si="57"/>
        <v>7.8640784186265314E-2</v>
      </c>
      <c r="BQ56" s="1">
        <f t="shared" si="58"/>
        <v>2.4586110126552402E-2</v>
      </c>
      <c r="BR56" s="1">
        <f t="shared" si="59"/>
        <v>3.4803574459134948E-3</v>
      </c>
      <c r="BS56" s="1">
        <f t="shared" si="60"/>
        <v>4.0552435731971454E-5</v>
      </c>
      <c r="BT56" s="1">
        <f t="shared" si="61"/>
        <v>3.7786330938245098E-3</v>
      </c>
      <c r="BU56" s="1">
        <f t="shared" si="62"/>
        <v>1.2073178846529203E-2</v>
      </c>
      <c r="BV56" s="1">
        <f t="shared" si="63"/>
        <v>3.0518043917028078E-3</v>
      </c>
      <c r="BW56" s="1">
        <f t="shared" si="64"/>
        <v>4.3364299511992593E-3</v>
      </c>
      <c r="BX56" s="1">
        <f t="shared" si="65"/>
        <v>2.7846759916105978E-3</v>
      </c>
      <c r="BY56" s="1">
        <f t="shared" si="66"/>
        <v>0</v>
      </c>
      <c r="BZ56" s="1">
        <f t="shared" si="67"/>
        <v>0</v>
      </c>
      <c r="CA56" s="1">
        <f t="shared" si="68"/>
        <v>0</v>
      </c>
      <c r="CB56" s="1">
        <f t="shared" si="69"/>
        <v>0</v>
      </c>
      <c r="CC56" s="1">
        <f t="shared" si="70"/>
        <v>0</v>
      </c>
      <c r="CD56" s="1">
        <f t="shared" si="71"/>
        <v>1.0637837108688899E-2</v>
      </c>
      <c r="CE56" s="1">
        <f t="shared" si="72"/>
        <v>7.7234195121854438E-3</v>
      </c>
      <c r="CF56" s="1">
        <f t="shared" si="73"/>
        <v>2.9949990357828491E-5</v>
      </c>
      <c r="CG56" s="1">
        <f t="shared" si="74"/>
        <v>2.4415595937558204E-5</v>
      </c>
      <c r="CH56" s="1">
        <f t="shared" si="75"/>
        <v>0</v>
      </c>
      <c r="CI56" s="1">
        <f t="shared" si="76"/>
        <v>1.7209572488923127E-5</v>
      </c>
      <c r="CJ56" s="1">
        <f t="shared" si="77"/>
        <v>3.1817276100802828E-3</v>
      </c>
      <c r="CK56" s="1">
        <f t="shared" si="78"/>
        <v>0</v>
      </c>
      <c r="CL56" s="1">
        <f t="shared" si="79"/>
        <v>3.9200674077798855E-2</v>
      </c>
      <c r="CM56" s="1">
        <f t="shared" si="80"/>
        <v>0</v>
      </c>
      <c r="CN56" s="1">
        <f t="shared" si="81"/>
        <v>1.8791703058102965E-8</v>
      </c>
      <c r="CO56" s="1">
        <f t="shared" si="82"/>
        <v>0</v>
      </c>
      <c r="CP56" s="1">
        <f t="shared" si="83"/>
        <v>0</v>
      </c>
      <c r="CQ56" s="1">
        <f t="shared" si="84"/>
        <v>0</v>
      </c>
      <c r="CR56" s="1">
        <f t="shared" si="85"/>
        <v>0</v>
      </c>
      <c r="CS56" s="1">
        <f t="shared" si="86"/>
        <v>1.9247447647171313E-3</v>
      </c>
      <c r="CT56" s="1">
        <f t="shared" si="87"/>
        <v>4.1262857255431338E-4</v>
      </c>
    </row>
    <row r="57" spans="1:98" x14ac:dyDescent="0.25">
      <c r="A57" s="14"/>
      <c r="B57" s="11"/>
      <c r="C57" t="s">
        <v>12</v>
      </c>
      <c r="D57">
        <v>0</v>
      </c>
      <c r="E57">
        <v>1.9385350699999999</v>
      </c>
      <c r="F57">
        <v>6.1803200000000004E-3</v>
      </c>
      <c r="G57">
        <v>3.3907899999999999E-3</v>
      </c>
      <c r="H57">
        <v>0.50404101000000001</v>
      </c>
      <c r="I57">
        <v>2.5065839999999999E-2</v>
      </c>
      <c r="J57">
        <v>4.60437E-2</v>
      </c>
      <c r="K57">
        <v>0.15067769</v>
      </c>
      <c r="L57">
        <v>0.26216612</v>
      </c>
      <c r="M57">
        <v>11.88750366</v>
      </c>
      <c r="N57">
        <v>19.42760659</v>
      </c>
      <c r="O57">
        <v>7.6330091400000004</v>
      </c>
      <c r="P57">
        <v>101.46663967000001</v>
      </c>
      <c r="Q57">
        <v>5.5796764300000001</v>
      </c>
      <c r="R57">
        <v>1.1474568599999999</v>
      </c>
      <c r="S57">
        <v>21.057058179999999</v>
      </c>
      <c r="T57">
        <v>33.284729689999999</v>
      </c>
      <c r="U57">
        <v>9.5576672699999996</v>
      </c>
      <c r="V57">
        <v>0.44319538000000003</v>
      </c>
      <c r="W57">
        <v>0.89463422000000004</v>
      </c>
      <c r="X57">
        <v>0</v>
      </c>
      <c r="Y57">
        <v>0</v>
      </c>
      <c r="Z57">
        <v>0</v>
      </c>
      <c r="AA57">
        <v>0</v>
      </c>
      <c r="AB57">
        <v>0</v>
      </c>
      <c r="AC57">
        <v>3.6358048699999999</v>
      </c>
      <c r="AD57">
        <v>2.1007126500000002</v>
      </c>
      <c r="AE57">
        <v>9.1073899999999999E-3</v>
      </c>
      <c r="AF57">
        <v>2.9927399999999998E-3</v>
      </c>
      <c r="AG57">
        <v>2.9999999999999997E-8</v>
      </c>
      <c r="AH57">
        <v>2.199216E-2</v>
      </c>
      <c r="AI57">
        <v>0.56419587000000004</v>
      </c>
      <c r="AJ57">
        <v>0</v>
      </c>
      <c r="AK57">
        <v>8.0659684800000004</v>
      </c>
      <c r="AL57">
        <v>0</v>
      </c>
      <c r="AM57">
        <v>3.2799999999999999E-6</v>
      </c>
      <c r="AN57">
        <v>0</v>
      </c>
      <c r="AO57">
        <v>0</v>
      </c>
      <c r="AP57">
        <v>0</v>
      </c>
      <c r="AQ57">
        <v>0</v>
      </c>
      <c r="AR57">
        <v>1.23730221</v>
      </c>
      <c r="AS57">
        <v>4.5378139999999997E-2</v>
      </c>
      <c r="AT57" s="4">
        <v>224.61384071000001</v>
      </c>
      <c r="AU57">
        <v>9.6115582699999997</v>
      </c>
      <c r="AV57">
        <v>248.48296841000001</v>
      </c>
      <c r="AW57">
        <v>9.9181119300000002</v>
      </c>
      <c r="AX57">
        <v>4.3394575</v>
      </c>
      <c r="AY57" s="4">
        <v>0</v>
      </c>
      <c r="BB57" s="18"/>
      <c r="BC57" s="1">
        <f t="shared" si="1"/>
        <v>479.48170385999998</v>
      </c>
      <c r="BD57" t="s">
        <v>12</v>
      </c>
      <c r="BE57" s="1">
        <f t="shared" si="46"/>
        <v>0</v>
      </c>
      <c r="BF57" s="1">
        <f t="shared" si="47"/>
        <v>4.0429802730617163E-3</v>
      </c>
      <c r="BG57" s="1">
        <f t="shared" si="48"/>
        <v>1.2889584629082202E-5</v>
      </c>
      <c r="BH57" s="1">
        <f t="shared" si="49"/>
        <v>7.0717818275502945E-6</v>
      </c>
      <c r="BI57" s="1">
        <f t="shared" si="50"/>
        <v>1.051220528212628E-3</v>
      </c>
      <c r="BJ57" s="1">
        <f t="shared" si="51"/>
        <v>5.2276947792190989E-5</v>
      </c>
      <c r="BK57" s="1">
        <f t="shared" si="52"/>
        <v>9.6028064531621687E-5</v>
      </c>
      <c r="BL57" s="1">
        <f t="shared" si="53"/>
        <v>3.1425117744220577E-4</v>
      </c>
      <c r="BM57" s="1">
        <f t="shared" si="54"/>
        <v>5.4676980975388331E-4</v>
      </c>
      <c r="BN57" s="1">
        <f t="shared" si="55"/>
        <v>2.4792403055844101E-2</v>
      </c>
      <c r="BO57" s="1">
        <f t="shared" si="56"/>
        <v>4.0517930994239795E-2</v>
      </c>
      <c r="BP57" s="1">
        <f t="shared" si="57"/>
        <v>1.5919291765570061E-2</v>
      </c>
      <c r="BQ57" s="1">
        <f t="shared" si="58"/>
        <v>0.2116173335773964</v>
      </c>
      <c r="BR57" s="1">
        <f t="shared" si="59"/>
        <v>1.1636891220419049E-2</v>
      </c>
      <c r="BS57" s="1">
        <f t="shared" si="60"/>
        <v>2.3931191758988089E-3</v>
      </c>
      <c r="BT57" s="1">
        <f t="shared" si="61"/>
        <v>4.3916291300550393E-2</v>
      </c>
      <c r="BU57" s="1">
        <f t="shared" si="62"/>
        <v>6.9418143428718895E-2</v>
      </c>
      <c r="BV57" s="1">
        <f t="shared" si="63"/>
        <v>1.9933330496361683E-2</v>
      </c>
      <c r="BW57" s="1">
        <f t="shared" si="64"/>
        <v>9.2432177585112844E-4</v>
      </c>
      <c r="BX57" s="1">
        <f t="shared" si="65"/>
        <v>1.8658359908164861E-3</v>
      </c>
      <c r="BY57" s="1">
        <f t="shared" si="66"/>
        <v>0</v>
      </c>
      <c r="BZ57" s="1">
        <f t="shared" si="67"/>
        <v>0</v>
      </c>
      <c r="CA57" s="1">
        <f t="shared" si="68"/>
        <v>0</v>
      </c>
      <c r="CB57" s="1">
        <f t="shared" si="69"/>
        <v>0</v>
      </c>
      <c r="CC57" s="1">
        <f t="shared" si="70"/>
        <v>0</v>
      </c>
      <c r="CD57" s="1">
        <f t="shared" si="71"/>
        <v>7.5827812421839337E-3</v>
      </c>
      <c r="CE57" s="1">
        <f t="shared" si="72"/>
        <v>4.3812154522028862E-3</v>
      </c>
      <c r="CF57" s="1">
        <f t="shared" si="73"/>
        <v>1.8994238834729749E-5</v>
      </c>
      <c r="CG57" s="1">
        <f t="shared" si="74"/>
        <v>6.2416145932313319E-6</v>
      </c>
      <c r="CH57" s="1">
        <f t="shared" si="75"/>
        <v>6.2567559426124538E-11</v>
      </c>
      <c r="CI57" s="1">
        <f t="shared" si="76"/>
        <v>4.5866525923627975E-5</v>
      </c>
      <c r="CJ57" s="1">
        <f t="shared" si="77"/>
        <v>1.1766786208066346E-3</v>
      </c>
      <c r="CK57" s="1">
        <f t="shared" si="78"/>
        <v>0</v>
      </c>
      <c r="CL57" s="1">
        <f t="shared" si="79"/>
        <v>1.6822265406721583E-2</v>
      </c>
      <c r="CM57" s="1">
        <f t="shared" si="80"/>
        <v>0</v>
      </c>
      <c r="CN57" s="1">
        <f t="shared" si="81"/>
        <v>6.840719830589617E-9</v>
      </c>
      <c r="CO57" s="1">
        <f t="shared" si="82"/>
        <v>0</v>
      </c>
      <c r="CP57" s="1">
        <f t="shared" si="83"/>
        <v>0</v>
      </c>
      <c r="CQ57" s="1">
        <f t="shared" si="84"/>
        <v>0</v>
      </c>
      <c r="CR57" s="1">
        <f t="shared" si="85"/>
        <v>0</v>
      </c>
      <c r="CS57" s="1">
        <f t="shared" si="86"/>
        <v>2.5804993184083409E-3</v>
      </c>
      <c r="CT57" s="1">
        <f t="shared" si="87"/>
        <v>9.4639982369899972E-5</v>
      </c>
    </row>
    <row r="58" spans="1:98" x14ac:dyDescent="0.25">
      <c r="A58" s="14"/>
      <c r="B58" s="11"/>
      <c r="C58" t="s">
        <v>13</v>
      </c>
      <c r="D58">
        <v>0</v>
      </c>
      <c r="E58">
        <v>3.1593195000000001</v>
      </c>
      <c r="F58">
        <v>1.1383310000000001E-2</v>
      </c>
      <c r="G58">
        <v>1.7467800000000001E-3</v>
      </c>
      <c r="H58">
        <v>1.41531232</v>
      </c>
      <c r="I58">
        <v>1.068966E-2</v>
      </c>
      <c r="J58">
        <v>0.18380994</v>
      </c>
      <c r="K58">
        <v>0.33992161999999998</v>
      </c>
      <c r="L58">
        <v>1.1888580500000001</v>
      </c>
      <c r="M58">
        <v>17.850233960000001</v>
      </c>
      <c r="N58">
        <v>8.3951300900000003</v>
      </c>
      <c r="O58">
        <v>4.7567865899999999</v>
      </c>
      <c r="P58">
        <v>38.886538289999997</v>
      </c>
      <c r="Q58">
        <v>64.147537799999995</v>
      </c>
      <c r="R58">
        <v>0.98916612000000004</v>
      </c>
      <c r="S58">
        <v>20.396426819999999</v>
      </c>
      <c r="T58">
        <v>34.253397450000001</v>
      </c>
      <c r="U58">
        <v>14.19072656</v>
      </c>
      <c r="V58">
        <v>0.42219517000000001</v>
      </c>
      <c r="W58">
        <v>0.47478219999999999</v>
      </c>
      <c r="X58">
        <v>0</v>
      </c>
      <c r="Y58">
        <v>0</v>
      </c>
      <c r="Z58">
        <v>0</v>
      </c>
      <c r="AA58">
        <v>0</v>
      </c>
      <c r="AB58">
        <v>0</v>
      </c>
      <c r="AC58">
        <v>3.26903693</v>
      </c>
      <c r="AD58">
        <v>2.33078568</v>
      </c>
      <c r="AE58">
        <v>2.1898939999999999E-2</v>
      </c>
      <c r="AF58">
        <v>2.0951199999999998E-3</v>
      </c>
      <c r="AG58">
        <v>1E-8</v>
      </c>
      <c r="AH58">
        <v>1.9966399999999999E-2</v>
      </c>
      <c r="AI58">
        <v>0.49605842999999999</v>
      </c>
      <c r="AJ58">
        <v>0</v>
      </c>
      <c r="AK58">
        <v>6.49214015</v>
      </c>
      <c r="AL58">
        <v>0</v>
      </c>
      <c r="AM58">
        <v>4.5900000000000001E-6</v>
      </c>
      <c r="AN58">
        <v>0</v>
      </c>
      <c r="AO58">
        <v>0</v>
      </c>
      <c r="AP58">
        <v>0</v>
      </c>
      <c r="AQ58">
        <v>0</v>
      </c>
      <c r="AR58">
        <v>0.53093661999999997</v>
      </c>
      <c r="AS58">
        <v>5.3476660000000002E-2</v>
      </c>
      <c r="AT58" s="4">
        <v>507.58291958000001</v>
      </c>
      <c r="AU58">
        <v>1.93102226</v>
      </c>
      <c r="AV58">
        <v>533.14967920000004</v>
      </c>
      <c r="AW58">
        <v>22.16969666</v>
      </c>
      <c r="AX58">
        <v>1.4660407</v>
      </c>
      <c r="AY58" s="4">
        <v>0</v>
      </c>
      <c r="BB58" s="18"/>
      <c r="BC58" s="1">
        <f t="shared" si="1"/>
        <v>757.44004096000003</v>
      </c>
      <c r="BD58" t="s">
        <v>13</v>
      </c>
      <c r="BE58" s="1">
        <f t="shared" si="46"/>
        <v>0</v>
      </c>
      <c r="BF58" s="1">
        <f t="shared" si="47"/>
        <v>4.1710489664578505E-3</v>
      </c>
      <c r="BG58" s="1">
        <f t="shared" si="48"/>
        <v>1.5028661523587379E-5</v>
      </c>
      <c r="BH58" s="1">
        <f t="shared" si="49"/>
        <v>2.3061627396751878E-6</v>
      </c>
      <c r="BI58" s="1">
        <f t="shared" si="50"/>
        <v>1.8685470049961904E-3</v>
      </c>
      <c r="BJ58" s="1">
        <f t="shared" si="51"/>
        <v>1.4112879464956244E-5</v>
      </c>
      <c r="BK58" s="1">
        <f t="shared" si="52"/>
        <v>2.426725946083261E-4</v>
      </c>
      <c r="BL58" s="1">
        <f t="shared" si="53"/>
        <v>4.4877693496263294E-4</v>
      </c>
      <c r="BM58" s="1">
        <f t="shared" si="54"/>
        <v>1.5695738087640695E-3</v>
      </c>
      <c r="BN58" s="1">
        <f t="shared" si="55"/>
        <v>2.356653067532069E-2</v>
      </c>
      <c r="BO58" s="1">
        <f t="shared" si="56"/>
        <v>1.1083557293009999E-2</v>
      </c>
      <c r="BP58" s="1">
        <f t="shared" si="57"/>
        <v>6.2800833501898308E-3</v>
      </c>
      <c r="BQ58" s="1">
        <f t="shared" si="58"/>
        <v>5.1339427792481296E-2</v>
      </c>
      <c r="BR58" s="1">
        <f t="shared" si="59"/>
        <v>8.4689921751030836E-2</v>
      </c>
      <c r="BS58" s="1">
        <f t="shared" si="60"/>
        <v>1.3059332310268467E-3</v>
      </c>
      <c r="BT58" s="1">
        <f t="shared" si="61"/>
        <v>2.6928107463330055E-2</v>
      </c>
      <c r="BU58" s="1">
        <f t="shared" si="62"/>
        <v>4.5222586076366277E-2</v>
      </c>
      <c r="BV58" s="1">
        <f t="shared" si="63"/>
        <v>1.8735115378920673E-2</v>
      </c>
      <c r="BW58" s="1">
        <f t="shared" si="64"/>
        <v>5.5739747989147547E-4</v>
      </c>
      <c r="BX58" s="1">
        <f t="shared" si="65"/>
        <v>6.2682479711298098E-4</v>
      </c>
      <c r="BY58" s="1">
        <f t="shared" si="66"/>
        <v>0</v>
      </c>
      <c r="BZ58" s="1">
        <f t="shared" si="67"/>
        <v>0</v>
      </c>
      <c r="CA58" s="1">
        <f t="shared" si="68"/>
        <v>0</v>
      </c>
      <c r="CB58" s="1">
        <f t="shared" si="69"/>
        <v>0</v>
      </c>
      <c r="CC58" s="1">
        <f t="shared" si="70"/>
        <v>0</v>
      </c>
      <c r="CD58" s="1">
        <f t="shared" si="71"/>
        <v>4.3159019238760256E-3</v>
      </c>
      <c r="CE58" s="1">
        <f t="shared" si="72"/>
        <v>3.0771883633797588E-3</v>
      </c>
      <c r="CF58" s="1">
        <f t="shared" si="73"/>
        <v>2.8911780227837821E-5</v>
      </c>
      <c r="CG58" s="1">
        <f t="shared" si="74"/>
        <v>2.766053927310983E-6</v>
      </c>
      <c r="CH58" s="1">
        <f t="shared" si="75"/>
        <v>1.3202365150019966E-11</v>
      </c>
      <c r="CI58" s="1">
        <f t="shared" si="76"/>
        <v>2.6360370353135863E-5</v>
      </c>
      <c r="CJ58" s="1">
        <f t="shared" si="77"/>
        <v>6.5491445286056191E-4</v>
      </c>
      <c r="CK58" s="1">
        <f t="shared" si="78"/>
        <v>0</v>
      </c>
      <c r="CL58" s="1">
        <f t="shared" si="79"/>
        <v>8.57116048654054E-3</v>
      </c>
      <c r="CM58" s="1">
        <f t="shared" si="80"/>
        <v>0</v>
      </c>
      <c r="CN58" s="1">
        <f t="shared" si="81"/>
        <v>6.0598856038591649E-9</v>
      </c>
      <c r="CO58" s="1">
        <f t="shared" si="82"/>
        <v>0</v>
      </c>
      <c r="CP58" s="1">
        <f t="shared" si="83"/>
        <v>0</v>
      </c>
      <c r="CQ58" s="1">
        <f t="shared" si="84"/>
        <v>0</v>
      </c>
      <c r="CR58" s="1">
        <f t="shared" si="85"/>
        <v>0</v>
      </c>
      <c r="CS58" s="1">
        <f t="shared" si="86"/>
        <v>7.0096191287573936E-4</v>
      </c>
      <c r="CT58" s="1">
        <f t="shared" si="87"/>
        <v>7.0601839232346673E-5</v>
      </c>
    </row>
    <row r="59" spans="1:98" x14ac:dyDescent="0.25">
      <c r="A59" s="14"/>
      <c r="B59" s="11"/>
      <c r="C59" t="s">
        <v>14</v>
      </c>
      <c r="D59">
        <v>0</v>
      </c>
      <c r="E59">
        <v>6.1909434599999997</v>
      </c>
      <c r="F59">
        <v>0.32220837000000002</v>
      </c>
      <c r="G59">
        <v>4.0703600000000003E-3</v>
      </c>
      <c r="H59">
        <v>1.65602944</v>
      </c>
      <c r="I59">
        <v>0.18448065999999999</v>
      </c>
      <c r="J59">
        <v>2.1395499</v>
      </c>
      <c r="K59">
        <v>0.14844147999999999</v>
      </c>
      <c r="L59">
        <v>0.58495587000000004</v>
      </c>
      <c r="M59">
        <v>46.053976329999998</v>
      </c>
      <c r="N59">
        <v>36.299515120000002</v>
      </c>
      <c r="O59">
        <v>10.0679832</v>
      </c>
      <c r="P59">
        <v>121.26586919</v>
      </c>
      <c r="Q59">
        <v>1.8933987000000001</v>
      </c>
      <c r="R59">
        <v>171.07359575000001</v>
      </c>
      <c r="S59">
        <v>80.05116975</v>
      </c>
      <c r="T59">
        <v>110.72550278</v>
      </c>
      <c r="U59">
        <v>26.851542479999999</v>
      </c>
      <c r="V59">
        <v>0.42190032999999999</v>
      </c>
      <c r="W59">
        <v>0.92265938000000003</v>
      </c>
      <c r="X59">
        <v>0</v>
      </c>
      <c r="Y59">
        <v>0</v>
      </c>
      <c r="Z59">
        <v>0</v>
      </c>
      <c r="AA59">
        <v>0</v>
      </c>
      <c r="AB59">
        <v>0</v>
      </c>
      <c r="AC59">
        <v>2.9435436799999999</v>
      </c>
      <c r="AD59">
        <v>1.40980975</v>
      </c>
      <c r="AE59">
        <v>2.0078470000000001E-2</v>
      </c>
      <c r="AF59">
        <v>8.1537000000000005E-4</v>
      </c>
      <c r="AG59">
        <v>4.0000000000000001E-8</v>
      </c>
      <c r="AH59">
        <v>1.010406E-2</v>
      </c>
      <c r="AI59">
        <v>0.69411718</v>
      </c>
      <c r="AJ59">
        <v>0</v>
      </c>
      <c r="AK59">
        <v>20.232222749999998</v>
      </c>
      <c r="AL59">
        <v>0</v>
      </c>
      <c r="AM59">
        <v>2.5680000000000001E-5</v>
      </c>
      <c r="AN59">
        <v>0</v>
      </c>
      <c r="AO59">
        <v>0</v>
      </c>
      <c r="AP59">
        <v>0</v>
      </c>
      <c r="AQ59">
        <v>0</v>
      </c>
      <c r="AR59">
        <v>0.53223107000000003</v>
      </c>
      <c r="AS59">
        <v>4.096441E-2</v>
      </c>
      <c r="AT59" s="4">
        <v>200.52084626000001</v>
      </c>
      <c r="AU59">
        <v>7.0637052999999996</v>
      </c>
      <c r="AV59">
        <v>412.32882531000001</v>
      </c>
      <c r="AW59">
        <v>200.86613419</v>
      </c>
      <c r="AX59">
        <v>3.8781395600000002</v>
      </c>
      <c r="AY59" s="4">
        <v>0</v>
      </c>
      <c r="BB59" s="18"/>
      <c r="BC59" s="1">
        <f t="shared" si="1"/>
        <v>1055.0705303200002</v>
      </c>
      <c r="BD59" t="s">
        <v>14</v>
      </c>
      <c r="BE59" s="1">
        <f t="shared" si="46"/>
        <v>0</v>
      </c>
      <c r="BF59" s="1">
        <f t="shared" si="47"/>
        <v>5.8678005707564424E-3</v>
      </c>
      <c r="BG59" s="1">
        <f t="shared" si="48"/>
        <v>3.0539036087215426E-4</v>
      </c>
      <c r="BH59" s="1">
        <f t="shared" si="49"/>
        <v>3.8579032235555574E-6</v>
      </c>
      <c r="BI59" s="1">
        <f t="shared" si="50"/>
        <v>1.5695912191744474E-3</v>
      </c>
      <c r="BJ59" s="1">
        <f t="shared" si="51"/>
        <v>1.7485149541997678E-4</v>
      </c>
      <c r="BK59" s="1">
        <f t="shared" si="52"/>
        <v>2.0278738136597181E-3</v>
      </c>
      <c r="BL59" s="1">
        <f t="shared" si="53"/>
        <v>1.4069341881341153E-4</v>
      </c>
      <c r="BM59" s="1">
        <f t="shared" si="54"/>
        <v>5.5442347519893713E-4</v>
      </c>
      <c r="BN59" s="1">
        <f t="shared" si="55"/>
        <v>4.3650139973137096E-2</v>
      </c>
      <c r="BO59" s="1">
        <f t="shared" si="56"/>
        <v>3.4404823257636108E-2</v>
      </c>
      <c r="BP59" s="1">
        <f t="shared" si="57"/>
        <v>9.542474091231044E-3</v>
      </c>
      <c r="BQ59" s="1">
        <f t="shared" si="58"/>
        <v>0.11493626796041813</v>
      </c>
      <c r="BR59" s="1">
        <f t="shared" si="59"/>
        <v>1.7945707377740301E-3</v>
      </c>
      <c r="BS59" s="1">
        <f t="shared" si="60"/>
        <v>0.16214422717134733</v>
      </c>
      <c r="BT59" s="1">
        <f t="shared" si="61"/>
        <v>7.5872813664618885E-2</v>
      </c>
      <c r="BU59" s="1">
        <f t="shared" si="62"/>
        <v>0.1049460672040733</v>
      </c>
      <c r="BV59" s="1">
        <f t="shared" si="63"/>
        <v>2.5449997614714909E-2</v>
      </c>
      <c r="BW59" s="1">
        <f t="shared" si="64"/>
        <v>3.9987879281590651E-4</v>
      </c>
      <c r="BX59" s="1">
        <f t="shared" si="65"/>
        <v>8.7450019073147625E-4</v>
      </c>
      <c r="BY59" s="1">
        <f t="shared" si="66"/>
        <v>0</v>
      </c>
      <c r="BZ59" s="1">
        <f t="shared" si="67"/>
        <v>0</v>
      </c>
      <c r="CA59" s="1">
        <f t="shared" si="68"/>
        <v>0</v>
      </c>
      <c r="CB59" s="1">
        <f t="shared" si="69"/>
        <v>0</v>
      </c>
      <c r="CC59" s="1">
        <f t="shared" si="70"/>
        <v>0</v>
      </c>
      <c r="CD59" s="1">
        <f t="shared" si="71"/>
        <v>2.7899022818002796E-3</v>
      </c>
      <c r="CE59" s="1">
        <f t="shared" si="72"/>
        <v>1.3362232281972735E-3</v>
      </c>
      <c r="CF59" s="1">
        <f t="shared" si="73"/>
        <v>1.9030452868312274E-5</v>
      </c>
      <c r="CG59" s="1">
        <f t="shared" si="74"/>
        <v>7.7281089421832344E-7</v>
      </c>
      <c r="CH59" s="1">
        <f t="shared" si="75"/>
        <v>3.7912157387116196E-11</v>
      </c>
      <c r="CI59" s="1">
        <f t="shared" si="76"/>
        <v>9.5766678242216324E-6</v>
      </c>
      <c r="CJ59" s="1">
        <f t="shared" si="77"/>
        <v>6.578869943315316E-4</v>
      </c>
      <c r="CK59" s="1">
        <f t="shared" si="78"/>
        <v>0</v>
      </c>
      <c r="CL59" s="1">
        <f t="shared" si="79"/>
        <v>1.9176180329729821E-2</v>
      </c>
      <c r="CM59" s="1">
        <f t="shared" si="80"/>
        <v>0</v>
      </c>
      <c r="CN59" s="1">
        <f t="shared" si="81"/>
        <v>2.4339605042528599E-8</v>
      </c>
      <c r="CO59" s="1">
        <f t="shared" si="82"/>
        <v>0</v>
      </c>
      <c r="CP59" s="1">
        <f t="shared" si="83"/>
        <v>0</v>
      </c>
      <c r="CQ59" s="1">
        <f t="shared" si="84"/>
        <v>0</v>
      </c>
      <c r="CR59" s="1">
        <f t="shared" si="85"/>
        <v>0</v>
      </c>
      <c r="CS59" s="1">
        <f t="shared" si="86"/>
        <v>5.0445070230383145E-4</v>
      </c>
      <c r="CT59" s="1">
        <f t="shared" si="87"/>
        <v>3.8826228979758918E-5</v>
      </c>
    </row>
    <row r="60" spans="1:98" x14ac:dyDescent="0.25">
      <c r="A60" s="14"/>
      <c r="B60" s="11"/>
      <c r="C60" t="s">
        <v>15</v>
      </c>
      <c r="D60">
        <v>0</v>
      </c>
      <c r="E60">
        <v>13.827904739999999</v>
      </c>
      <c r="F60">
        <v>3.6526256400000001</v>
      </c>
      <c r="G60">
        <v>4.4491899999999996E-3</v>
      </c>
      <c r="H60">
        <v>1.04504821</v>
      </c>
      <c r="I60">
        <v>7.3119600000000002E-3</v>
      </c>
      <c r="J60">
        <v>3.4484309999999997E-2</v>
      </c>
      <c r="K60">
        <v>2.5072772799999998</v>
      </c>
      <c r="L60">
        <v>0.13602626000000001</v>
      </c>
      <c r="M60">
        <v>120.12457139</v>
      </c>
      <c r="N60">
        <v>69.154844819999994</v>
      </c>
      <c r="O60">
        <v>5.5886127099999996</v>
      </c>
      <c r="P60">
        <v>18.30170893</v>
      </c>
      <c r="Q60">
        <v>0.31607088</v>
      </c>
      <c r="R60">
        <v>0.14766990999999999</v>
      </c>
      <c r="S60">
        <v>125.99033805000001</v>
      </c>
      <c r="T60">
        <v>151.11333981000001</v>
      </c>
      <c r="U60">
        <v>3.45204946</v>
      </c>
      <c r="V60">
        <v>1.1796110099999999</v>
      </c>
      <c r="W60">
        <v>0.56975354</v>
      </c>
      <c r="X60">
        <v>0</v>
      </c>
      <c r="Y60">
        <v>0</v>
      </c>
      <c r="Z60">
        <v>0</v>
      </c>
      <c r="AA60">
        <v>0</v>
      </c>
      <c r="AB60">
        <v>0</v>
      </c>
      <c r="AC60">
        <v>4.3047670399999998</v>
      </c>
      <c r="AD60">
        <v>2.4207254800000002</v>
      </c>
      <c r="AE60">
        <v>4.5104100000000003E-3</v>
      </c>
      <c r="AF60">
        <v>1.77747E-3</v>
      </c>
      <c r="AG60">
        <v>0</v>
      </c>
      <c r="AH60">
        <v>9.4532000000000001E-3</v>
      </c>
      <c r="AI60">
        <v>0.91990481000000002</v>
      </c>
      <c r="AJ60">
        <v>0</v>
      </c>
      <c r="AK60">
        <v>15.830321</v>
      </c>
      <c r="AL60">
        <v>0</v>
      </c>
      <c r="AM60">
        <v>1.431E-5</v>
      </c>
      <c r="AN60">
        <v>0</v>
      </c>
      <c r="AO60">
        <v>0</v>
      </c>
      <c r="AP60">
        <v>0</v>
      </c>
      <c r="AQ60">
        <v>0</v>
      </c>
      <c r="AR60">
        <v>0.93547422999999996</v>
      </c>
      <c r="AS60">
        <v>3.3682379999999998E-2</v>
      </c>
      <c r="AT60" s="4">
        <v>50.047009019999997</v>
      </c>
      <c r="AU60">
        <v>12.65229789</v>
      </c>
      <c r="AV60">
        <v>129.03135531000001</v>
      </c>
      <c r="AW60">
        <v>53.66458987</v>
      </c>
      <c r="AX60">
        <v>12.66745852</v>
      </c>
      <c r="AY60" s="4">
        <v>0</v>
      </c>
      <c r="BB60" s="18"/>
      <c r="BC60" s="1">
        <f t="shared" si="1"/>
        <v>670.64568373999998</v>
      </c>
      <c r="BD60" t="s">
        <v>15</v>
      </c>
      <c r="BE60" s="1">
        <f t="shared" si="46"/>
        <v>0</v>
      </c>
      <c r="BF60" s="1">
        <f t="shared" si="47"/>
        <v>2.0618793314057748E-2</v>
      </c>
      <c r="BG60" s="1">
        <f t="shared" si="48"/>
        <v>5.4464312953307137E-3</v>
      </c>
      <c r="BH60" s="1">
        <f t="shared" si="49"/>
        <v>6.6341886749917394E-6</v>
      </c>
      <c r="BI60" s="1">
        <f t="shared" si="50"/>
        <v>1.5582717302705413E-3</v>
      </c>
      <c r="BJ60" s="1">
        <f t="shared" si="51"/>
        <v>1.0902865965263925E-5</v>
      </c>
      <c r="BK60" s="1">
        <f t="shared" si="52"/>
        <v>5.1419566003453298E-5</v>
      </c>
      <c r="BL60" s="1">
        <f t="shared" si="53"/>
        <v>3.7386019783466414E-3</v>
      </c>
      <c r="BM60" s="1">
        <f t="shared" si="54"/>
        <v>2.0282880110615237E-4</v>
      </c>
      <c r="BN60" s="1">
        <f t="shared" si="55"/>
        <v>0.17911778798023342</v>
      </c>
      <c r="BO60" s="1">
        <f t="shared" si="56"/>
        <v>0.10311681189736899</v>
      </c>
      <c r="BP60" s="1">
        <f t="shared" si="57"/>
        <v>8.3331822533083307E-3</v>
      </c>
      <c r="BQ60" s="1">
        <f t="shared" si="58"/>
        <v>2.7289684215868776E-2</v>
      </c>
      <c r="BR60" s="1">
        <f t="shared" si="59"/>
        <v>4.712933933121924E-4</v>
      </c>
      <c r="BS60" s="1">
        <f t="shared" si="60"/>
        <v>2.2019065145769217E-4</v>
      </c>
      <c r="BT60" s="1">
        <f t="shared" si="61"/>
        <v>0.18786423457970797</v>
      </c>
      <c r="BU60" s="1">
        <f t="shared" si="62"/>
        <v>0.22532515078198068</v>
      </c>
      <c r="BV60" s="1">
        <f t="shared" si="63"/>
        <v>5.1473520872435995E-3</v>
      </c>
      <c r="BW60" s="1">
        <f t="shared" si="64"/>
        <v>1.7589183656884888E-3</v>
      </c>
      <c r="BX60" s="1">
        <f t="shared" si="65"/>
        <v>8.4955969122569577E-4</v>
      </c>
      <c r="BY60" s="1">
        <f t="shared" si="66"/>
        <v>0</v>
      </c>
      <c r="BZ60" s="1">
        <f t="shared" si="67"/>
        <v>0</v>
      </c>
      <c r="CA60" s="1">
        <f t="shared" si="68"/>
        <v>0</v>
      </c>
      <c r="CB60" s="1">
        <f t="shared" si="69"/>
        <v>0</v>
      </c>
      <c r="CC60" s="1">
        <f t="shared" si="70"/>
        <v>0</v>
      </c>
      <c r="CD60" s="1">
        <f t="shared" si="71"/>
        <v>6.4188395517489052E-3</v>
      </c>
      <c r="CE60" s="1">
        <f t="shared" si="72"/>
        <v>3.6095445608481419E-3</v>
      </c>
      <c r="CF60" s="1">
        <f t="shared" si="73"/>
        <v>6.7254738371635054E-6</v>
      </c>
      <c r="CG60" s="1">
        <f t="shared" si="74"/>
        <v>2.6503861026698271E-6</v>
      </c>
      <c r="CH60" s="1">
        <f t="shared" si="75"/>
        <v>0</v>
      </c>
      <c r="CI60" s="1">
        <f t="shared" si="76"/>
        <v>1.4095669634794629E-5</v>
      </c>
      <c r="CJ60" s="1">
        <f t="shared" si="77"/>
        <v>1.3716703652962513E-3</v>
      </c>
      <c r="CK60" s="1">
        <f t="shared" si="78"/>
        <v>0</v>
      </c>
      <c r="CL60" s="1">
        <f t="shared" si="79"/>
        <v>2.3604596859132541E-2</v>
      </c>
      <c r="CM60" s="1">
        <f t="shared" si="80"/>
        <v>0</v>
      </c>
      <c r="CN60" s="1">
        <f t="shared" si="81"/>
        <v>2.1337645715092367E-8</v>
      </c>
      <c r="CO60" s="1">
        <f t="shared" si="82"/>
        <v>0</v>
      </c>
      <c r="CP60" s="1">
        <f t="shared" si="83"/>
        <v>0</v>
      </c>
      <c r="CQ60" s="1">
        <f t="shared" si="84"/>
        <v>0</v>
      </c>
      <c r="CR60" s="1">
        <f t="shared" si="85"/>
        <v>0</v>
      </c>
      <c r="CS60" s="1">
        <f t="shared" si="86"/>
        <v>1.3948859325883178E-3</v>
      </c>
      <c r="CT60" s="1">
        <f t="shared" si="87"/>
        <v>5.0223807916220317E-5</v>
      </c>
    </row>
    <row r="61" spans="1:98" x14ac:dyDescent="0.25">
      <c r="A61" s="14"/>
      <c r="B61" s="11"/>
      <c r="C61" t="s">
        <v>16</v>
      </c>
      <c r="D61">
        <v>2.8430000000000001E-5</v>
      </c>
      <c r="E61">
        <v>19.841692129999998</v>
      </c>
      <c r="F61">
        <v>4.5674699999999997E-3</v>
      </c>
      <c r="G61">
        <v>1.367994E-2</v>
      </c>
      <c r="H61">
        <v>0.96421504999999996</v>
      </c>
      <c r="I61">
        <v>2.5536420000000001E-2</v>
      </c>
      <c r="J61">
        <v>3.0346789999999998E-2</v>
      </c>
      <c r="K61">
        <v>0.76146937999999997</v>
      </c>
      <c r="L61">
        <v>0.56655557000000001</v>
      </c>
      <c r="M61">
        <v>74.185125729999996</v>
      </c>
      <c r="N61">
        <v>129.69401551000001</v>
      </c>
      <c r="O61">
        <v>3.6871518999999999</v>
      </c>
      <c r="P61">
        <v>4.5006243599999998</v>
      </c>
      <c r="Q61">
        <v>9.2639901800000004</v>
      </c>
      <c r="R61">
        <v>5.5495070000000001E-2</v>
      </c>
      <c r="S61">
        <v>60.793075780000002</v>
      </c>
      <c r="T61">
        <v>2748.4073400100001</v>
      </c>
      <c r="U61">
        <v>26.513653420000001</v>
      </c>
      <c r="V61">
        <v>0.84754523000000004</v>
      </c>
      <c r="W61">
        <v>1.2264102100000001</v>
      </c>
      <c r="X61">
        <v>0</v>
      </c>
      <c r="Y61">
        <v>0</v>
      </c>
      <c r="Z61">
        <v>0</v>
      </c>
      <c r="AA61">
        <v>0</v>
      </c>
      <c r="AB61">
        <v>0</v>
      </c>
      <c r="AC61">
        <v>2.83300756</v>
      </c>
      <c r="AD61">
        <v>1.17237082</v>
      </c>
      <c r="AE61">
        <v>4.6332300000000003E-3</v>
      </c>
      <c r="AF61">
        <v>4.7099999999999998E-6</v>
      </c>
      <c r="AG61">
        <v>0</v>
      </c>
      <c r="AH61">
        <v>1.8315123900000001</v>
      </c>
      <c r="AI61">
        <v>0.80219518999999995</v>
      </c>
      <c r="AJ61">
        <v>0</v>
      </c>
      <c r="AK61">
        <v>10.50098726</v>
      </c>
      <c r="AL61">
        <v>0</v>
      </c>
      <c r="AM61">
        <v>1.17E-6</v>
      </c>
      <c r="AN61">
        <v>0</v>
      </c>
      <c r="AO61">
        <v>0</v>
      </c>
      <c r="AP61">
        <v>0</v>
      </c>
      <c r="AQ61">
        <v>0</v>
      </c>
      <c r="AR61">
        <v>1.4544073</v>
      </c>
      <c r="AS61">
        <v>3.6479869999999998E-2</v>
      </c>
      <c r="AT61" s="4">
        <v>462.13380379</v>
      </c>
      <c r="AU61">
        <v>67.266704410000003</v>
      </c>
      <c r="AV61">
        <v>1217.26955241</v>
      </c>
      <c r="AW61">
        <v>293.55883071</v>
      </c>
      <c r="AX61">
        <v>394.31021349999997</v>
      </c>
      <c r="AY61" s="4">
        <v>0</v>
      </c>
      <c r="BB61" s="18"/>
      <c r="BC61" s="1">
        <f t="shared" si="1"/>
        <v>4317.2876704900009</v>
      </c>
      <c r="BD61" t="s">
        <v>16</v>
      </c>
      <c r="BE61" s="1">
        <f t="shared" si="46"/>
        <v>6.585153033541837E-9</v>
      </c>
      <c r="BF61" s="1">
        <f t="shared" si="47"/>
        <v>4.5958698248495487E-3</v>
      </c>
      <c r="BG61" s="1">
        <f t="shared" si="48"/>
        <v>1.0579489597647319E-6</v>
      </c>
      <c r="BH61" s="1">
        <f t="shared" si="49"/>
        <v>3.1686422226405315E-6</v>
      </c>
      <c r="BI61" s="1">
        <f t="shared" si="50"/>
        <v>2.2333815200472015E-4</v>
      </c>
      <c r="BJ61" s="1">
        <f t="shared" si="51"/>
        <v>5.9149220411114472E-6</v>
      </c>
      <c r="BK61" s="1">
        <f t="shared" si="52"/>
        <v>7.0291331771634567E-6</v>
      </c>
      <c r="BL61" s="1">
        <f t="shared" si="53"/>
        <v>1.7637679907338098E-4</v>
      </c>
      <c r="BM61" s="1">
        <f t="shared" si="54"/>
        <v>1.3122951566850246E-4</v>
      </c>
      <c r="BN61" s="1">
        <f t="shared" si="55"/>
        <v>1.7183271394463316E-2</v>
      </c>
      <c r="BO61" s="1">
        <f t="shared" si="56"/>
        <v>3.0040623977062916E-2</v>
      </c>
      <c r="BP61" s="1">
        <f t="shared" si="57"/>
        <v>8.5404359899453211E-4</v>
      </c>
      <c r="BQ61" s="1">
        <f t="shared" si="58"/>
        <v>1.0424657107663132E-3</v>
      </c>
      <c r="BR61" s="1">
        <f t="shared" si="59"/>
        <v>2.1457894138771998E-3</v>
      </c>
      <c r="BS61" s="1">
        <f t="shared" si="60"/>
        <v>1.2854151549669946E-5</v>
      </c>
      <c r="BT61" s="1">
        <f t="shared" si="61"/>
        <v>1.4081312254344206E-2</v>
      </c>
      <c r="BU61" s="1">
        <f t="shared" si="62"/>
        <v>0.63660509787110453</v>
      </c>
      <c r="BV61" s="1">
        <f t="shared" si="63"/>
        <v>6.1412755979243722E-3</v>
      </c>
      <c r="BW61" s="1">
        <f t="shared" si="64"/>
        <v>1.9631428218073915E-4</v>
      </c>
      <c r="BX61" s="1">
        <f t="shared" si="65"/>
        <v>2.8406960656870143E-4</v>
      </c>
      <c r="BY61" s="1">
        <f t="shared" si="66"/>
        <v>0</v>
      </c>
      <c r="BZ61" s="1">
        <f t="shared" si="67"/>
        <v>0</v>
      </c>
      <c r="CA61" s="1">
        <f t="shared" si="68"/>
        <v>0</v>
      </c>
      <c r="CB61" s="1">
        <f t="shared" si="69"/>
        <v>0</v>
      </c>
      <c r="CC61" s="1">
        <f t="shared" si="70"/>
        <v>0</v>
      </c>
      <c r="CD61" s="1">
        <f t="shared" si="71"/>
        <v>6.5620078535986483E-4</v>
      </c>
      <c r="CE61" s="1">
        <f t="shared" si="72"/>
        <v>2.7155262967847103E-4</v>
      </c>
      <c r="CF61" s="1">
        <f t="shared" si="73"/>
        <v>1.0731807453252567E-6</v>
      </c>
      <c r="CG61" s="1">
        <f t="shared" si="74"/>
        <v>1.0909627431580039E-9</v>
      </c>
      <c r="CH61" s="1">
        <f t="shared" si="75"/>
        <v>0</v>
      </c>
      <c r="CI61" s="1">
        <f t="shared" si="76"/>
        <v>4.2422755437840169E-4</v>
      </c>
      <c r="CJ61" s="1">
        <f t="shared" si="77"/>
        <v>1.8580999257548962E-4</v>
      </c>
      <c r="CK61" s="1">
        <f t="shared" si="78"/>
        <v>0</v>
      </c>
      <c r="CL61" s="1">
        <f t="shared" si="79"/>
        <v>2.4323112244239603E-3</v>
      </c>
      <c r="CM61" s="1">
        <f t="shared" si="80"/>
        <v>0</v>
      </c>
      <c r="CN61" s="1">
        <f t="shared" si="81"/>
        <v>2.7100348396918568E-10</v>
      </c>
      <c r="CO61" s="1">
        <f t="shared" si="82"/>
        <v>0</v>
      </c>
      <c r="CP61" s="1">
        <f t="shared" si="83"/>
        <v>0</v>
      </c>
      <c r="CQ61" s="1">
        <f t="shared" si="84"/>
        <v>0</v>
      </c>
      <c r="CR61" s="1">
        <f t="shared" si="85"/>
        <v>0</v>
      </c>
      <c r="CS61" s="1">
        <f t="shared" si="86"/>
        <v>3.3687986787198001E-4</v>
      </c>
      <c r="CT61" s="1">
        <f t="shared" si="87"/>
        <v>8.449719542515365E-6</v>
      </c>
    </row>
    <row r="62" spans="1:98" x14ac:dyDescent="0.25">
      <c r="A62" s="14"/>
      <c r="B62" s="11"/>
      <c r="C62" t="s">
        <v>17</v>
      </c>
      <c r="D62">
        <v>0</v>
      </c>
      <c r="E62">
        <v>1.2681284100000001</v>
      </c>
      <c r="F62">
        <v>0.46040131000000001</v>
      </c>
      <c r="G62">
        <v>3.9371000000000002E-4</v>
      </c>
      <c r="H62">
        <v>2.8294739999999999E-2</v>
      </c>
      <c r="I62">
        <v>0.10372455</v>
      </c>
      <c r="J62">
        <v>6.5538899999999997E-3</v>
      </c>
      <c r="K62">
        <v>0.10275437</v>
      </c>
      <c r="L62">
        <v>0.24675146000000001</v>
      </c>
      <c r="M62">
        <v>4.9508424599999996</v>
      </c>
      <c r="N62">
        <v>1.3485717699999999</v>
      </c>
      <c r="O62">
        <v>0.69759852</v>
      </c>
      <c r="P62">
        <v>2.0870681200000001</v>
      </c>
      <c r="Q62">
        <v>0.13581077999999999</v>
      </c>
      <c r="R62">
        <v>7.6243400000000003E-3</v>
      </c>
      <c r="S62">
        <v>17.178409769999998</v>
      </c>
      <c r="T62">
        <v>48.803345299999997</v>
      </c>
      <c r="U62">
        <v>53.133984439999999</v>
      </c>
      <c r="V62">
        <v>0.59191780000000005</v>
      </c>
      <c r="W62">
        <v>7.1930930000000004E-2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1.22027697</v>
      </c>
      <c r="AD62">
        <v>0.72730286</v>
      </c>
      <c r="AE62">
        <v>3.5976999999999998E-4</v>
      </c>
      <c r="AF62">
        <v>1.6181999999999999E-4</v>
      </c>
      <c r="AG62">
        <v>0</v>
      </c>
      <c r="AH62">
        <v>1.4860800000000001E-3</v>
      </c>
      <c r="AI62">
        <v>0.14725315999999999</v>
      </c>
      <c r="AJ62">
        <v>0</v>
      </c>
      <c r="AK62">
        <v>1.41015439</v>
      </c>
      <c r="AL62">
        <v>0</v>
      </c>
      <c r="AM62">
        <v>2.1600000000000001E-6</v>
      </c>
      <c r="AN62">
        <v>0</v>
      </c>
      <c r="AO62">
        <v>0</v>
      </c>
      <c r="AP62">
        <v>0</v>
      </c>
      <c r="AQ62">
        <v>0</v>
      </c>
      <c r="AR62">
        <v>2.8798689999999998E-2</v>
      </c>
      <c r="AS62">
        <v>4.2847800000000002E-3</v>
      </c>
      <c r="AT62" s="4">
        <v>198.60937032999999</v>
      </c>
      <c r="AU62">
        <v>3.09165745</v>
      </c>
      <c r="AV62">
        <v>244.89429913999999</v>
      </c>
      <c r="AW62">
        <v>38.79755385</v>
      </c>
      <c r="AX62">
        <v>4.3957175099999999</v>
      </c>
      <c r="AY62" s="4">
        <v>0</v>
      </c>
      <c r="BB62" s="18"/>
      <c r="BC62" s="1">
        <f t="shared" si="1"/>
        <v>379.65848648999997</v>
      </c>
      <c r="BD62" t="s">
        <v>17</v>
      </c>
      <c r="BE62" s="1">
        <f t="shared" si="46"/>
        <v>0</v>
      </c>
      <c r="BF62" s="1">
        <f t="shared" si="47"/>
        <v>3.3401819138142775E-3</v>
      </c>
      <c r="BG62" s="1">
        <f t="shared" si="48"/>
        <v>1.2126722472516804E-3</v>
      </c>
      <c r="BH62" s="1">
        <f t="shared" si="49"/>
        <v>1.0370109295854505E-6</v>
      </c>
      <c r="BI62" s="1">
        <f t="shared" si="50"/>
        <v>7.4526820832030233E-5</v>
      </c>
      <c r="BJ62" s="1">
        <f t="shared" si="51"/>
        <v>2.7320487672736918E-4</v>
      </c>
      <c r="BK62" s="1">
        <f t="shared" si="52"/>
        <v>1.7262593181023562E-5</v>
      </c>
      <c r="BL62" s="1">
        <f t="shared" si="53"/>
        <v>2.706494748740629E-4</v>
      </c>
      <c r="BM62" s="1">
        <f t="shared" si="54"/>
        <v>6.4993005235113933E-4</v>
      </c>
      <c r="BN62" s="1">
        <f t="shared" si="55"/>
        <v>1.3040252321951988E-2</v>
      </c>
      <c r="BO62" s="1">
        <f t="shared" si="56"/>
        <v>3.5520653903136725E-3</v>
      </c>
      <c r="BP62" s="1">
        <f t="shared" si="57"/>
        <v>1.8374369198207675E-3</v>
      </c>
      <c r="BQ62" s="1">
        <f t="shared" si="58"/>
        <v>5.4972249910577795E-3</v>
      </c>
      <c r="BR62" s="1">
        <f t="shared" si="59"/>
        <v>3.5771827795972943E-4</v>
      </c>
      <c r="BS62" s="1">
        <f t="shared" si="60"/>
        <v>2.008210081246484E-5</v>
      </c>
      <c r="BT62" s="1">
        <f t="shared" si="61"/>
        <v>4.5247005878406646E-2</v>
      </c>
      <c r="BU62" s="1">
        <f t="shared" si="62"/>
        <v>0.12854538232819263</v>
      </c>
      <c r="BV62" s="1">
        <f t="shared" si="63"/>
        <v>0.13995205251759735</v>
      </c>
      <c r="BW62" s="1">
        <f t="shared" si="64"/>
        <v>1.559079596698521E-3</v>
      </c>
      <c r="BX62" s="1">
        <f t="shared" si="65"/>
        <v>1.8946219447117411E-4</v>
      </c>
      <c r="BY62" s="1">
        <f t="shared" si="66"/>
        <v>0</v>
      </c>
      <c r="BZ62" s="1">
        <f t="shared" si="67"/>
        <v>0</v>
      </c>
      <c r="CA62" s="1">
        <f t="shared" si="68"/>
        <v>0</v>
      </c>
      <c r="CB62" s="1">
        <f t="shared" si="69"/>
        <v>0</v>
      </c>
      <c r="CC62" s="1">
        <f t="shared" si="70"/>
        <v>0</v>
      </c>
      <c r="CD62" s="1">
        <f t="shared" si="71"/>
        <v>3.2141437987641074E-3</v>
      </c>
      <c r="CE62" s="1">
        <f t="shared" si="72"/>
        <v>1.9156765511131458E-3</v>
      </c>
      <c r="CF62" s="1">
        <f t="shared" si="73"/>
        <v>9.4761479804159772E-7</v>
      </c>
      <c r="CG62" s="1">
        <f t="shared" si="74"/>
        <v>4.2622516224001817E-7</v>
      </c>
      <c r="CH62" s="1">
        <f t="shared" si="75"/>
        <v>0</v>
      </c>
      <c r="CI62" s="1">
        <f t="shared" si="76"/>
        <v>3.9142546601263521E-6</v>
      </c>
      <c r="CJ62" s="1">
        <f t="shared" si="77"/>
        <v>3.8785689044219107E-4</v>
      </c>
      <c r="CK62" s="1">
        <f t="shared" si="78"/>
        <v>0</v>
      </c>
      <c r="CL62" s="1">
        <f t="shared" si="79"/>
        <v>3.7142706937413417E-3</v>
      </c>
      <c r="CM62" s="1">
        <f t="shared" si="80"/>
        <v>0</v>
      </c>
      <c r="CN62" s="1">
        <f t="shared" si="81"/>
        <v>5.6893236339045818E-9</v>
      </c>
      <c r="CO62" s="1">
        <f t="shared" si="82"/>
        <v>0</v>
      </c>
      <c r="CP62" s="1">
        <f t="shared" si="83"/>
        <v>0</v>
      </c>
      <c r="CQ62" s="1">
        <f t="shared" si="84"/>
        <v>0</v>
      </c>
      <c r="CR62" s="1">
        <f t="shared" si="85"/>
        <v>0</v>
      </c>
      <c r="CS62" s="1">
        <f t="shared" si="86"/>
        <v>7.5854197982634961E-5</v>
      </c>
      <c r="CT62" s="1">
        <f t="shared" si="87"/>
        <v>1.1285879685222997E-5</v>
      </c>
    </row>
    <row r="63" spans="1:98" x14ac:dyDescent="0.25">
      <c r="A63" s="14"/>
      <c r="B63" s="11"/>
      <c r="C63" t="s">
        <v>18</v>
      </c>
      <c r="D63">
        <v>1.68717E-3</v>
      </c>
      <c r="E63">
        <v>0.46029499000000001</v>
      </c>
      <c r="F63">
        <v>4.8429600000000003E-2</v>
      </c>
      <c r="G63">
        <v>1.221738E-2</v>
      </c>
      <c r="H63">
        <v>0.42371472999999998</v>
      </c>
      <c r="I63">
        <v>1.6472799999999999E-2</v>
      </c>
      <c r="J63">
        <v>3.529997E-2</v>
      </c>
      <c r="K63">
        <v>1.8543750000000001E-2</v>
      </c>
      <c r="L63">
        <v>1.376694E-2</v>
      </c>
      <c r="M63">
        <v>3.7069509799999998</v>
      </c>
      <c r="N63">
        <v>1.9032650799999999</v>
      </c>
      <c r="O63">
        <v>0.33526856999999999</v>
      </c>
      <c r="P63">
        <v>1.0804606999999999</v>
      </c>
      <c r="Q63">
        <v>1.1524710000000001E-2</v>
      </c>
      <c r="R63">
        <v>6.4241000000000005E-4</v>
      </c>
      <c r="S63">
        <v>1.5337916300000001</v>
      </c>
      <c r="T63">
        <v>1.5767678599999999</v>
      </c>
      <c r="U63">
        <v>0.21554893999999999</v>
      </c>
      <c r="V63">
        <v>25.568801220000001</v>
      </c>
      <c r="W63">
        <v>0.43263568000000002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0.47471302999999998</v>
      </c>
      <c r="AD63">
        <v>0.17984585</v>
      </c>
      <c r="AE63">
        <v>2.1430689999999999E-2</v>
      </c>
      <c r="AF63">
        <v>9.8091999999999993E-4</v>
      </c>
      <c r="AG63">
        <v>0</v>
      </c>
      <c r="AH63">
        <v>1.3568E-4</v>
      </c>
      <c r="AI63">
        <v>0.14286213</v>
      </c>
      <c r="AJ63">
        <v>0</v>
      </c>
      <c r="AK63">
        <v>0.98592581999999995</v>
      </c>
      <c r="AL63">
        <v>0</v>
      </c>
      <c r="AM63">
        <v>3.4999999999999998E-7</v>
      </c>
      <c r="AN63">
        <v>0</v>
      </c>
      <c r="AO63">
        <v>0</v>
      </c>
      <c r="AP63">
        <v>0</v>
      </c>
      <c r="AQ63">
        <v>0</v>
      </c>
      <c r="AR63">
        <v>8.365235E-2</v>
      </c>
      <c r="AS63">
        <v>6.2816299999999999E-3</v>
      </c>
      <c r="AT63" s="4">
        <v>0</v>
      </c>
      <c r="AU63">
        <v>0.18168050999999999</v>
      </c>
      <c r="AV63">
        <v>29.453234210000002</v>
      </c>
      <c r="AW63">
        <v>27.710327800000002</v>
      </c>
      <c r="AX63">
        <v>1.5612258999999999</v>
      </c>
      <c r="AY63" s="4">
        <v>0</v>
      </c>
      <c r="BB63" s="18"/>
      <c r="BC63" s="1">
        <f t="shared" si="1"/>
        <v>68.745147769999988</v>
      </c>
      <c r="BD63" t="s">
        <v>18</v>
      </c>
      <c r="BE63" s="1">
        <f t="shared" si="46"/>
        <v>2.4542386695345381E-5</v>
      </c>
      <c r="BF63" s="1">
        <f t="shared" si="47"/>
        <v>6.6956724209831474E-3</v>
      </c>
      <c r="BG63" s="1">
        <f t="shared" si="48"/>
        <v>7.0448026618592004E-4</v>
      </c>
      <c r="BH63" s="1">
        <f t="shared" si="49"/>
        <v>1.7771988854945191E-4</v>
      </c>
      <c r="BI63" s="1">
        <f t="shared" si="50"/>
        <v>6.1635583564038365E-3</v>
      </c>
      <c r="BJ63" s="1">
        <f t="shared" si="51"/>
        <v>2.3962127560061251E-4</v>
      </c>
      <c r="BK63" s="1">
        <f t="shared" si="52"/>
        <v>5.1349035015682543E-4</v>
      </c>
      <c r="BL63" s="1">
        <f t="shared" si="53"/>
        <v>2.6974631085297331E-4</v>
      </c>
      <c r="BM63" s="1">
        <f t="shared" si="54"/>
        <v>2.002605339661197E-4</v>
      </c>
      <c r="BN63" s="1">
        <f t="shared" si="55"/>
        <v>5.3923092759976483E-2</v>
      </c>
      <c r="BO63" s="1">
        <f t="shared" si="56"/>
        <v>2.768580971514872E-2</v>
      </c>
      <c r="BP63" s="1">
        <f t="shared" si="57"/>
        <v>4.8769779522724278E-3</v>
      </c>
      <c r="BQ63" s="1">
        <f t="shared" si="58"/>
        <v>1.5716901265742964E-2</v>
      </c>
      <c r="BR63" s="1">
        <f t="shared" si="59"/>
        <v>1.676439774128949E-4</v>
      </c>
      <c r="BS63" s="1">
        <f t="shared" si="60"/>
        <v>9.3448049911726913E-6</v>
      </c>
      <c r="BT63" s="1">
        <f t="shared" si="61"/>
        <v>2.2311271118822709E-2</v>
      </c>
      <c r="BU63" s="1">
        <f t="shared" si="62"/>
        <v>2.2936424040797435E-2</v>
      </c>
      <c r="BV63" s="1">
        <f t="shared" si="63"/>
        <v>3.1354786045578098E-3</v>
      </c>
      <c r="BW63" s="1">
        <f t="shared" si="64"/>
        <v>0.37193608639180331</v>
      </c>
      <c r="BX63" s="1">
        <f t="shared" si="65"/>
        <v>6.293326787913312E-3</v>
      </c>
      <c r="BY63" s="1">
        <f t="shared" si="66"/>
        <v>0</v>
      </c>
      <c r="BZ63" s="1">
        <f t="shared" si="67"/>
        <v>0</v>
      </c>
      <c r="CA63" s="1">
        <f t="shared" si="68"/>
        <v>0</v>
      </c>
      <c r="CB63" s="1">
        <f t="shared" si="69"/>
        <v>0</v>
      </c>
      <c r="CC63" s="1">
        <f t="shared" si="70"/>
        <v>0</v>
      </c>
      <c r="CD63" s="1">
        <f t="shared" si="71"/>
        <v>6.9054041688621139E-3</v>
      </c>
      <c r="CE63" s="1">
        <f t="shared" si="72"/>
        <v>2.6161242768974564E-3</v>
      </c>
      <c r="CF63" s="1">
        <f t="shared" si="73"/>
        <v>3.1174112930414322E-4</v>
      </c>
      <c r="CG63" s="1">
        <f t="shared" si="74"/>
        <v>1.4268934344018796E-5</v>
      </c>
      <c r="CH63" s="1">
        <f t="shared" si="75"/>
        <v>0</v>
      </c>
      <c r="CI63" s="1">
        <f t="shared" si="76"/>
        <v>1.973666569951138E-6</v>
      </c>
      <c r="CJ63" s="1">
        <f t="shared" si="77"/>
        <v>2.0781412890110082E-3</v>
      </c>
      <c r="CK63" s="1">
        <f t="shared" si="78"/>
        <v>0</v>
      </c>
      <c r="CL63" s="1">
        <f t="shared" si="79"/>
        <v>1.4341751410566502E-2</v>
      </c>
      <c r="CM63" s="1">
        <f t="shared" si="80"/>
        <v>0</v>
      </c>
      <c r="CN63" s="1">
        <f t="shared" si="81"/>
        <v>5.0912684218963611E-9</v>
      </c>
      <c r="CO63" s="1">
        <f t="shared" si="82"/>
        <v>0</v>
      </c>
      <c r="CP63" s="1">
        <f t="shared" si="83"/>
        <v>0</v>
      </c>
      <c r="CQ63" s="1">
        <f t="shared" si="84"/>
        <v>0</v>
      </c>
      <c r="CR63" s="1">
        <f t="shared" si="85"/>
        <v>0</v>
      </c>
      <c r="CS63" s="1">
        <f t="shared" si="86"/>
        <v>1.2168473370640631E-3</v>
      </c>
      <c r="CT63" s="1">
        <f t="shared" si="87"/>
        <v>9.1375612734390975E-5</v>
      </c>
    </row>
    <row r="64" spans="1:98" x14ac:dyDescent="0.25">
      <c r="A64" s="14"/>
      <c r="B64" s="11"/>
      <c r="C64" t="s">
        <v>19</v>
      </c>
      <c r="D64">
        <v>0</v>
      </c>
      <c r="E64">
        <v>1.7634300000000001E-3</v>
      </c>
      <c r="F64">
        <v>1.16435E-3</v>
      </c>
      <c r="G64">
        <v>9.7769999999999994E-5</v>
      </c>
      <c r="H64">
        <v>1.327764E-2</v>
      </c>
      <c r="I64">
        <v>6.2550000000000003E-5</v>
      </c>
      <c r="J64">
        <v>1.0067100000000001E-3</v>
      </c>
      <c r="K64">
        <v>1.1459599999999999E-3</v>
      </c>
      <c r="L64">
        <v>0.22721798000000001</v>
      </c>
      <c r="M64">
        <v>1.76264614</v>
      </c>
      <c r="N64">
        <v>7.9162620000000003E-2</v>
      </c>
      <c r="O64">
        <v>3.2673870000000001E-2</v>
      </c>
      <c r="P64">
        <v>3.4538606500000002</v>
      </c>
      <c r="Q64">
        <v>9.3705559999999993E-2</v>
      </c>
      <c r="R64">
        <v>0.78176807000000004</v>
      </c>
      <c r="S64">
        <v>0.37933257999999997</v>
      </c>
      <c r="T64">
        <v>0.29945434999999998</v>
      </c>
      <c r="U64">
        <v>1.3946562899999999</v>
      </c>
      <c r="V64">
        <v>3.4843190000000003E-2</v>
      </c>
      <c r="W64">
        <v>6.9451100000000002E-2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0.17066790000000001</v>
      </c>
      <c r="AD64">
        <v>8.2318589999999997E-2</v>
      </c>
      <c r="AE64">
        <v>1.1256000000000001E-4</v>
      </c>
      <c r="AF64">
        <v>4.9744999999999998E-4</v>
      </c>
      <c r="AG64">
        <v>0</v>
      </c>
      <c r="AH64">
        <v>4.5625E-4</v>
      </c>
      <c r="AI64">
        <v>6.6717780000000004E-2</v>
      </c>
      <c r="AJ64">
        <v>0</v>
      </c>
      <c r="AK64">
        <v>0.84778664999999997</v>
      </c>
      <c r="AL64">
        <v>0</v>
      </c>
      <c r="AM64">
        <v>2.3999999999999998E-7</v>
      </c>
      <c r="AN64">
        <v>0</v>
      </c>
      <c r="AO64">
        <v>0</v>
      </c>
      <c r="AP64">
        <v>0</v>
      </c>
      <c r="AQ64">
        <v>0</v>
      </c>
      <c r="AR64">
        <v>3.0097869999999999E-2</v>
      </c>
      <c r="AS64">
        <v>6.11627E-3</v>
      </c>
      <c r="AT64" s="4">
        <v>0</v>
      </c>
      <c r="AU64">
        <v>0</v>
      </c>
      <c r="AV64">
        <v>0</v>
      </c>
      <c r="AW64">
        <v>0</v>
      </c>
      <c r="AX64">
        <v>0</v>
      </c>
      <c r="AY64" s="4">
        <v>0</v>
      </c>
      <c r="BB64" s="18"/>
      <c r="BC64" s="1">
        <f t="shared" si="1"/>
        <v>9.8320623699999974</v>
      </c>
      <c r="BD64" t="s">
        <v>19</v>
      </c>
      <c r="BE64" s="1">
        <f t="shared" si="46"/>
        <v>0</v>
      </c>
      <c r="BF64" s="1">
        <f t="shared" si="47"/>
        <v>1.793550461376905E-4</v>
      </c>
      <c r="BG64" s="1">
        <f t="shared" si="48"/>
        <v>1.1842378091016933E-4</v>
      </c>
      <c r="BH64" s="1">
        <f t="shared" si="49"/>
        <v>9.9439971310922451E-6</v>
      </c>
      <c r="BI64" s="1">
        <f t="shared" si="50"/>
        <v>1.3504430200232756E-3</v>
      </c>
      <c r="BJ64" s="1">
        <f t="shared" si="51"/>
        <v>6.3618392201065764E-6</v>
      </c>
      <c r="BK64" s="1">
        <f t="shared" si="52"/>
        <v>1.0239052216264575E-4</v>
      </c>
      <c r="BL64" s="1">
        <f t="shared" si="53"/>
        <v>1.1655336966703968E-4</v>
      </c>
      <c r="BM64" s="1">
        <f t="shared" si="54"/>
        <v>2.3109900186688917E-2</v>
      </c>
      <c r="BN64" s="1">
        <f t="shared" si="55"/>
        <v>0.17927532125693793</v>
      </c>
      <c r="BO64" s="1">
        <f t="shared" si="56"/>
        <v>8.0514765896465747E-3</v>
      </c>
      <c r="BP64" s="1">
        <f t="shared" si="57"/>
        <v>3.3231959654462617E-3</v>
      </c>
      <c r="BQ64" s="1">
        <f t="shared" si="58"/>
        <v>0.35128546992730286</v>
      </c>
      <c r="BR64" s="1">
        <f t="shared" si="59"/>
        <v>9.5306108193453226E-3</v>
      </c>
      <c r="BS64" s="1">
        <f t="shared" si="60"/>
        <v>7.9512114608361689E-2</v>
      </c>
      <c r="BT64" s="1">
        <f t="shared" si="61"/>
        <v>3.8581181213560599E-2</v>
      </c>
      <c r="BU64" s="1">
        <f t="shared" si="62"/>
        <v>3.0456921318329683E-2</v>
      </c>
      <c r="BV64" s="1">
        <f t="shared" si="63"/>
        <v>0.14184778711895013</v>
      </c>
      <c r="BW64" s="1">
        <f t="shared" si="64"/>
        <v>3.54383329649281E-3</v>
      </c>
      <c r="BX64" s="1">
        <f t="shared" si="65"/>
        <v>7.0637367203764002E-3</v>
      </c>
      <c r="BY64" s="1">
        <f t="shared" si="66"/>
        <v>0</v>
      </c>
      <c r="BZ64" s="1">
        <f t="shared" si="67"/>
        <v>0</v>
      </c>
      <c r="CA64" s="1">
        <f t="shared" si="68"/>
        <v>0</v>
      </c>
      <c r="CB64" s="1">
        <f t="shared" si="69"/>
        <v>0</v>
      </c>
      <c r="CC64" s="1">
        <f t="shared" si="70"/>
        <v>0</v>
      </c>
      <c r="CD64" s="1">
        <f t="shared" si="71"/>
        <v>1.7358301196374538E-2</v>
      </c>
      <c r="CE64" s="1">
        <f t="shared" si="72"/>
        <v>8.372464179150647E-3</v>
      </c>
      <c r="CF64" s="1">
        <f t="shared" si="73"/>
        <v>1.1448259354359653E-5</v>
      </c>
      <c r="CG64" s="1">
        <f t="shared" si="74"/>
        <v>5.0594674980687707E-5</v>
      </c>
      <c r="CH64" s="1">
        <f t="shared" si="75"/>
        <v>0</v>
      </c>
      <c r="CI64" s="1">
        <f t="shared" si="76"/>
        <v>4.6404302864486418E-5</v>
      </c>
      <c r="CJ64" s="1">
        <f t="shared" si="77"/>
        <v>6.7857360428847666E-3</v>
      </c>
      <c r="CK64" s="1">
        <f t="shared" si="78"/>
        <v>0</v>
      </c>
      <c r="CL64" s="1">
        <f t="shared" si="79"/>
        <v>8.622673637494431E-2</v>
      </c>
      <c r="CM64" s="1">
        <f t="shared" si="80"/>
        <v>0</v>
      </c>
      <c r="CN64" s="1">
        <f t="shared" si="81"/>
        <v>2.4409934657483263E-8</v>
      </c>
      <c r="CO64" s="1">
        <f t="shared" si="82"/>
        <v>0</v>
      </c>
      <c r="CP64" s="1">
        <f t="shared" si="83"/>
        <v>0</v>
      </c>
      <c r="CQ64" s="1">
        <f t="shared" si="84"/>
        <v>0</v>
      </c>
      <c r="CR64" s="1">
        <f t="shared" si="85"/>
        <v>0</v>
      </c>
      <c r="CS64" s="1">
        <f t="shared" si="86"/>
        <v>3.0611960001226076E-3</v>
      </c>
      <c r="CT64" s="1">
        <f t="shared" si="87"/>
        <v>6.2207396269802157E-4</v>
      </c>
    </row>
    <row r="65" spans="1:98" x14ac:dyDescent="0.25">
      <c r="A65" s="14"/>
      <c r="B65" s="11"/>
      <c r="C65" t="s">
        <v>20</v>
      </c>
      <c r="D65">
        <v>0</v>
      </c>
      <c r="E65">
        <v>1.4951539999999999E-2</v>
      </c>
      <c r="F65">
        <v>4.4837399999999999E-3</v>
      </c>
      <c r="G65">
        <v>4.3911799999999997E-3</v>
      </c>
      <c r="H65">
        <v>9.4647000000000004E-4</v>
      </c>
      <c r="I65">
        <v>3.2626999999999998E-4</v>
      </c>
      <c r="J65">
        <v>3.9845599999999998E-3</v>
      </c>
      <c r="K65">
        <v>9.3630699999999994E-3</v>
      </c>
      <c r="L65">
        <v>10.084816249999999</v>
      </c>
      <c r="M65">
        <v>0.49369687000000001</v>
      </c>
      <c r="N65">
        <v>0.45437948</v>
      </c>
      <c r="O65">
        <v>1.1572310000000001E-2</v>
      </c>
      <c r="P65">
        <v>0.53152834000000004</v>
      </c>
      <c r="Q65">
        <v>2.7516699999999999E-3</v>
      </c>
      <c r="R65">
        <v>1.67519E-3</v>
      </c>
      <c r="S65">
        <v>4.8890505299999996</v>
      </c>
      <c r="T65">
        <v>0.39304438000000003</v>
      </c>
      <c r="U65">
        <v>0.95504254</v>
      </c>
      <c r="V65">
        <v>4.0250809999999998E-2</v>
      </c>
      <c r="W65">
        <v>3.7658650000000002E-2</v>
      </c>
      <c r="X65">
        <v>0.24553489000000001</v>
      </c>
      <c r="Y65">
        <v>0</v>
      </c>
      <c r="Z65">
        <v>0</v>
      </c>
      <c r="AA65">
        <v>0</v>
      </c>
      <c r="AB65">
        <v>0</v>
      </c>
      <c r="AC65">
        <v>1.0353044199999999</v>
      </c>
      <c r="AD65">
        <v>0.67138732000000001</v>
      </c>
      <c r="AE65">
        <v>1.3520259999999999E-2</v>
      </c>
      <c r="AF65">
        <v>183.09059187</v>
      </c>
      <c r="AG65">
        <v>0</v>
      </c>
      <c r="AH65">
        <v>4.7884900000000003E-3</v>
      </c>
      <c r="AI65">
        <v>0.45622868999999999</v>
      </c>
      <c r="AJ65">
        <v>0</v>
      </c>
      <c r="AK65">
        <v>0.77202225999999996</v>
      </c>
      <c r="AL65">
        <v>0</v>
      </c>
      <c r="AM65">
        <v>2.9999999999999999E-7</v>
      </c>
      <c r="AN65">
        <v>0</v>
      </c>
      <c r="AO65">
        <v>0</v>
      </c>
      <c r="AP65">
        <v>0</v>
      </c>
      <c r="AQ65">
        <v>0</v>
      </c>
      <c r="AR65">
        <v>0.82163589000000004</v>
      </c>
      <c r="AS65">
        <v>3.0194200000000001E-3</v>
      </c>
      <c r="AT65" s="4">
        <v>0</v>
      </c>
      <c r="AU65">
        <v>0</v>
      </c>
      <c r="AV65">
        <v>1.1046464600000001</v>
      </c>
      <c r="AW65">
        <v>1.1046464600000001</v>
      </c>
      <c r="AX65">
        <v>0</v>
      </c>
      <c r="AY65" s="4">
        <v>0</v>
      </c>
      <c r="BB65" s="18"/>
      <c r="BC65" s="1">
        <f t="shared" si="1"/>
        <v>206.15259412</v>
      </c>
      <c r="BD65" t="s">
        <v>20</v>
      </c>
      <c r="BE65" s="1">
        <f t="shared" si="46"/>
        <v>0</v>
      </c>
      <c r="BF65" s="1">
        <f t="shared" si="47"/>
        <v>7.2526567341164828E-5</v>
      </c>
      <c r="BG65" s="1">
        <f t="shared" si="48"/>
        <v>2.1749617166544339E-5</v>
      </c>
      <c r="BH65" s="1">
        <f t="shared" si="49"/>
        <v>2.1300629365080528E-5</v>
      </c>
      <c r="BI65" s="1">
        <f t="shared" si="50"/>
        <v>4.5911137040995295E-6</v>
      </c>
      <c r="BJ65" s="1">
        <f t="shared" si="51"/>
        <v>1.5826625970570153E-6</v>
      </c>
      <c r="BK65" s="1">
        <f t="shared" si="52"/>
        <v>1.9328206938209155E-5</v>
      </c>
      <c r="BL65" s="1">
        <f t="shared" si="53"/>
        <v>4.5418152703670663E-5</v>
      </c>
      <c r="BM65" s="1">
        <f t="shared" si="54"/>
        <v>4.8919181895570506E-2</v>
      </c>
      <c r="BN65" s="1">
        <f t="shared" si="55"/>
        <v>2.3948127944129699E-3</v>
      </c>
      <c r="BO65" s="1">
        <f t="shared" si="56"/>
        <v>2.2040929532786226E-3</v>
      </c>
      <c r="BP65" s="1">
        <f t="shared" si="57"/>
        <v>5.6134680474909955E-5</v>
      </c>
      <c r="BQ65" s="1">
        <f t="shared" si="58"/>
        <v>2.5783247708762815E-3</v>
      </c>
      <c r="BR65" s="1">
        <f t="shared" si="59"/>
        <v>1.334773404984791E-5</v>
      </c>
      <c r="BS65" s="1">
        <f t="shared" si="60"/>
        <v>8.1259709932385498E-6</v>
      </c>
      <c r="BT65" s="1">
        <f t="shared" si="61"/>
        <v>2.3715687648122034E-2</v>
      </c>
      <c r="BU65" s="1">
        <f t="shared" si="62"/>
        <v>1.9065701388710713E-3</v>
      </c>
      <c r="BV65" s="1">
        <f t="shared" si="63"/>
        <v>4.6326971730662591E-3</v>
      </c>
      <c r="BW65" s="1">
        <f t="shared" si="64"/>
        <v>1.9524765221518522E-4</v>
      </c>
      <c r="BX65" s="1">
        <f t="shared" si="65"/>
        <v>1.826736654018487E-4</v>
      </c>
      <c r="BY65" s="1">
        <f t="shared" si="66"/>
        <v>1.1910346850017121E-3</v>
      </c>
      <c r="BZ65" s="1">
        <f t="shared" si="67"/>
        <v>0</v>
      </c>
      <c r="CA65" s="1">
        <f t="shared" si="68"/>
        <v>0</v>
      </c>
      <c r="CB65" s="1">
        <f t="shared" si="69"/>
        <v>0</v>
      </c>
      <c r="CC65" s="1">
        <f t="shared" si="70"/>
        <v>0</v>
      </c>
      <c r="CD65" s="1">
        <f t="shared" si="71"/>
        <v>5.0220295525233915E-3</v>
      </c>
      <c r="CE65" s="1">
        <f t="shared" si="72"/>
        <v>3.2567493165241959E-3</v>
      </c>
      <c r="CF65" s="1">
        <f t="shared" si="73"/>
        <v>6.5583749055953913E-5</v>
      </c>
      <c r="CG65" s="1">
        <f t="shared" si="74"/>
        <v>0.88813139922665352</v>
      </c>
      <c r="CH65" s="1">
        <f t="shared" si="75"/>
        <v>0</v>
      </c>
      <c r="CI65" s="1">
        <f t="shared" si="76"/>
        <v>2.3227891069916167E-5</v>
      </c>
      <c r="CJ65" s="1">
        <f t="shared" si="77"/>
        <v>2.2130630562641981E-3</v>
      </c>
      <c r="CK65" s="1">
        <f t="shared" si="78"/>
        <v>0</v>
      </c>
      <c r="CL65" s="1">
        <f t="shared" si="79"/>
        <v>3.7449068409520529E-3</v>
      </c>
      <c r="CM65" s="1">
        <f t="shared" si="80"/>
        <v>0</v>
      </c>
      <c r="CN65" s="1">
        <f t="shared" si="81"/>
        <v>1.4552327186597131E-9</v>
      </c>
      <c r="CO65" s="1">
        <f t="shared" si="82"/>
        <v>0</v>
      </c>
      <c r="CP65" s="1">
        <f t="shared" si="83"/>
        <v>0</v>
      </c>
      <c r="CQ65" s="1">
        <f t="shared" si="84"/>
        <v>0</v>
      </c>
      <c r="CR65" s="1">
        <f t="shared" si="85"/>
        <v>0</v>
      </c>
      <c r="CS65" s="1">
        <f t="shared" si="86"/>
        <v>3.9855714331769772E-3</v>
      </c>
      <c r="CT65" s="1">
        <f t="shared" si="87"/>
        <v>1.4646529251251704E-5</v>
      </c>
    </row>
    <row r="66" spans="1:98" x14ac:dyDescent="0.25">
      <c r="A66" s="14"/>
      <c r="B66" s="11"/>
      <c r="C66" t="s">
        <v>21</v>
      </c>
      <c r="D66">
        <v>0</v>
      </c>
      <c r="E66">
        <v>7.2623000000000002E-4</v>
      </c>
      <c r="F66">
        <v>0</v>
      </c>
      <c r="G66">
        <v>6.1335999999999997E-4</v>
      </c>
      <c r="H66">
        <v>1.537E-4</v>
      </c>
      <c r="I66">
        <v>1.7240000000000001E-5</v>
      </c>
      <c r="J66">
        <v>6.5270000000000004E-5</v>
      </c>
      <c r="K66">
        <v>1.1338699999999999E-3</v>
      </c>
      <c r="L66">
        <v>16.929590409999999</v>
      </c>
      <c r="M66">
        <v>0.17713027000000001</v>
      </c>
      <c r="N66">
        <v>2.5465399999999999E-3</v>
      </c>
      <c r="O66">
        <v>3.91895E-3</v>
      </c>
      <c r="P66">
        <v>1.379233E-2</v>
      </c>
      <c r="Q66">
        <v>1.6092999999999999E-4</v>
      </c>
      <c r="R66">
        <v>4.3600000000000003E-4</v>
      </c>
      <c r="S66">
        <v>2.0115100000000002E-3</v>
      </c>
      <c r="T66">
        <v>3.0082419999999999E-2</v>
      </c>
      <c r="U66">
        <v>1.8762500000000001E-3</v>
      </c>
      <c r="V66">
        <v>1.0815499999999999E-3</v>
      </c>
      <c r="W66">
        <v>3.8214299999999998E-3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0.24591233000000001</v>
      </c>
      <c r="AD66">
        <v>6.3648990000000003E-2</v>
      </c>
      <c r="AE66">
        <v>4.1490600000000004E-3</v>
      </c>
      <c r="AF66">
        <v>1.959319E-2</v>
      </c>
      <c r="AG66">
        <v>450.99491539000002</v>
      </c>
      <c r="AH66">
        <v>1.1498E-4</v>
      </c>
      <c r="AI66">
        <v>2.2147199999999999E-2</v>
      </c>
      <c r="AJ66">
        <v>0</v>
      </c>
      <c r="AK66">
        <v>0.1791616</v>
      </c>
      <c r="AL66">
        <v>0</v>
      </c>
      <c r="AM66">
        <v>1E-8</v>
      </c>
      <c r="AN66">
        <v>0</v>
      </c>
      <c r="AO66">
        <v>0</v>
      </c>
      <c r="AP66">
        <v>0</v>
      </c>
      <c r="AQ66">
        <v>0</v>
      </c>
      <c r="AR66">
        <v>3.4581710000000002E-2</v>
      </c>
      <c r="AS66">
        <v>1.6519000000000001E-4</v>
      </c>
      <c r="AT66" s="4">
        <v>0</v>
      </c>
      <c r="AU66">
        <v>0</v>
      </c>
      <c r="AV66">
        <v>0</v>
      </c>
      <c r="AW66">
        <v>0</v>
      </c>
      <c r="AX66">
        <v>0</v>
      </c>
      <c r="AY66" s="4">
        <v>0</v>
      </c>
      <c r="BB66" s="18"/>
      <c r="BC66" s="1">
        <f t="shared" si="1"/>
        <v>468.73354791000003</v>
      </c>
      <c r="BD66" t="s">
        <v>21</v>
      </c>
      <c r="BE66" s="1">
        <f t="shared" si="46"/>
        <v>0</v>
      </c>
      <c r="BF66" s="1">
        <f t="shared" si="47"/>
        <v>1.5493450452568013E-6</v>
      </c>
      <c r="BG66" s="1">
        <f t="shared" si="48"/>
        <v>0</v>
      </c>
      <c r="BH66" s="1">
        <f t="shared" si="49"/>
        <v>1.3085472604529028E-6</v>
      </c>
      <c r="BI66" s="1">
        <f t="shared" si="50"/>
        <v>3.2790484206927603E-7</v>
      </c>
      <c r="BJ66" s="1">
        <f t="shared" si="51"/>
        <v>3.6779957561966946E-8</v>
      </c>
      <c r="BK66" s="1">
        <f t="shared" si="52"/>
        <v>1.3924755394835166E-7</v>
      </c>
      <c r="BL66" s="1">
        <f t="shared" si="53"/>
        <v>2.4190075684911516E-6</v>
      </c>
      <c r="BM66" s="1">
        <f t="shared" si="54"/>
        <v>3.6117727193809894E-2</v>
      </c>
      <c r="BN66" s="1">
        <f t="shared" si="55"/>
        <v>3.7789117247910364E-4</v>
      </c>
      <c r="BO66" s="1">
        <f t="shared" si="56"/>
        <v>5.4328093462790776E-6</v>
      </c>
      <c r="BP66" s="1">
        <f t="shared" si="57"/>
        <v>8.3607201094820382E-6</v>
      </c>
      <c r="BQ66" s="1">
        <f t="shared" si="58"/>
        <v>2.9424670074283269E-5</v>
      </c>
      <c r="BR66" s="1">
        <f t="shared" si="59"/>
        <v>3.4332938343662063E-7</v>
      </c>
      <c r="BS66" s="1">
        <f t="shared" si="60"/>
        <v>9.3016598010542855E-7</v>
      </c>
      <c r="BT66" s="1">
        <f t="shared" si="61"/>
        <v>4.291371951013465E-6</v>
      </c>
      <c r="BU66" s="1">
        <f t="shared" si="62"/>
        <v>6.417808184230078E-5</v>
      </c>
      <c r="BV66" s="1">
        <f t="shared" si="63"/>
        <v>4.0028071563596563E-6</v>
      </c>
      <c r="BW66" s="1">
        <f t="shared" si="64"/>
        <v>2.3073876508785002E-6</v>
      </c>
      <c r="BX66" s="1">
        <f t="shared" si="65"/>
        <v>8.1526701407208432E-6</v>
      </c>
      <c r="BY66" s="1">
        <f t="shared" si="66"/>
        <v>0</v>
      </c>
      <c r="BZ66" s="1">
        <f t="shared" si="67"/>
        <v>0</v>
      </c>
      <c r="CA66" s="1">
        <f t="shared" si="68"/>
        <v>0</v>
      </c>
      <c r="CB66" s="1">
        <f t="shared" si="69"/>
        <v>0</v>
      </c>
      <c r="CC66" s="1">
        <f t="shared" si="70"/>
        <v>0</v>
      </c>
      <c r="CD66" s="1">
        <f t="shared" si="71"/>
        <v>5.2463138406986143E-4</v>
      </c>
      <c r="CE66" s="1">
        <f t="shared" si="72"/>
        <v>1.3578927790383168E-4</v>
      </c>
      <c r="CF66" s="1">
        <f t="shared" si="73"/>
        <v>8.8516386729730035E-6</v>
      </c>
      <c r="CG66" s="1">
        <f t="shared" si="74"/>
        <v>4.1800272430600641E-5</v>
      </c>
      <c r="CH66" s="1">
        <f t="shared" si="75"/>
        <v>0.96215625572546826</v>
      </c>
      <c r="CI66" s="1">
        <f t="shared" si="76"/>
        <v>2.45299276129638E-7</v>
      </c>
      <c r="CJ66" s="1">
        <f t="shared" si="77"/>
        <v>4.7249018336217765E-5</v>
      </c>
      <c r="CK66" s="1">
        <f t="shared" si="78"/>
        <v>0</v>
      </c>
      <c r="CL66" s="1">
        <f t="shared" si="79"/>
        <v>3.822248285808641E-4</v>
      </c>
      <c r="CM66" s="1">
        <f t="shared" si="80"/>
        <v>0</v>
      </c>
      <c r="CN66" s="1">
        <f t="shared" si="81"/>
        <v>2.1334082112509827E-11</v>
      </c>
      <c r="CO66" s="1">
        <f t="shared" si="82"/>
        <v>0</v>
      </c>
      <c r="CP66" s="1">
        <f t="shared" si="83"/>
        <v>0</v>
      </c>
      <c r="CQ66" s="1">
        <f t="shared" si="84"/>
        <v>0</v>
      </c>
      <c r="CR66" s="1">
        <f t="shared" si="85"/>
        <v>0</v>
      </c>
      <c r="CS66" s="1">
        <f t="shared" si="86"/>
        <v>7.377690407310023E-5</v>
      </c>
      <c r="CT66" s="1">
        <f t="shared" si="87"/>
        <v>3.5241770241654984E-7</v>
      </c>
    </row>
    <row r="67" spans="1:98" x14ac:dyDescent="0.25">
      <c r="A67" s="14"/>
      <c r="B67" s="11"/>
      <c r="C67" t="s">
        <v>22</v>
      </c>
      <c r="D67">
        <v>0</v>
      </c>
      <c r="E67">
        <v>3.6160000000000001E-4</v>
      </c>
      <c r="F67">
        <v>0</v>
      </c>
      <c r="G67">
        <v>4.0470000000000002E-4</v>
      </c>
      <c r="H67">
        <v>1.148892E-2</v>
      </c>
      <c r="I67">
        <v>5.6589999999999999E-5</v>
      </c>
      <c r="J67">
        <v>1.2700999999999999E-4</v>
      </c>
      <c r="K67">
        <v>9.4775999999999997E-4</v>
      </c>
      <c r="L67">
        <v>1.3639100000000001E-3</v>
      </c>
      <c r="M67">
        <v>2.0602622899999998</v>
      </c>
      <c r="N67">
        <v>1.41821E-3</v>
      </c>
      <c r="O67">
        <v>2.9065710000000002E-2</v>
      </c>
      <c r="P67">
        <v>4.9888099999999998E-3</v>
      </c>
      <c r="Q67">
        <v>1.9028199999999999E-3</v>
      </c>
      <c r="R67">
        <v>1.7089000000000001E-4</v>
      </c>
      <c r="S67">
        <v>3.0910389999999999E-2</v>
      </c>
      <c r="T67">
        <v>3.2587140000000001E-2</v>
      </c>
      <c r="U67">
        <v>7.0625899999999997E-3</v>
      </c>
      <c r="V67">
        <v>7.5902999999999995E-4</v>
      </c>
      <c r="W67">
        <v>3.7068600000000002E-3</v>
      </c>
      <c r="X67">
        <v>0</v>
      </c>
      <c r="Y67">
        <v>0</v>
      </c>
      <c r="Z67">
        <v>0</v>
      </c>
      <c r="AA67">
        <v>0</v>
      </c>
      <c r="AB67">
        <v>0</v>
      </c>
      <c r="AC67">
        <v>8.6233359999999995E-2</v>
      </c>
      <c r="AD67">
        <v>4.773819E-2</v>
      </c>
      <c r="AE67">
        <v>1.9793999999999999E-4</v>
      </c>
      <c r="AF67">
        <v>0</v>
      </c>
      <c r="AG67">
        <v>0</v>
      </c>
      <c r="AH67">
        <v>8.5589999999999999E-5</v>
      </c>
      <c r="AI67">
        <v>3.4123899999999999E-2</v>
      </c>
      <c r="AJ67">
        <v>0</v>
      </c>
      <c r="AK67">
        <v>0.21933538</v>
      </c>
      <c r="AL67">
        <v>0</v>
      </c>
      <c r="AM67">
        <v>1E-8</v>
      </c>
      <c r="AN67">
        <v>0</v>
      </c>
      <c r="AO67">
        <v>0</v>
      </c>
      <c r="AP67">
        <v>0</v>
      </c>
      <c r="AQ67">
        <v>0</v>
      </c>
      <c r="AR67">
        <v>0.48908043000000001</v>
      </c>
      <c r="AS67">
        <v>1.6137000000000001E-4</v>
      </c>
      <c r="AT67" s="4">
        <v>0</v>
      </c>
      <c r="AU67">
        <v>0</v>
      </c>
      <c r="AV67">
        <v>0</v>
      </c>
      <c r="AW67">
        <v>0</v>
      </c>
      <c r="AX67">
        <v>0</v>
      </c>
      <c r="AY67" s="4">
        <v>0</v>
      </c>
      <c r="BB67" s="18"/>
      <c r="BC67" s="1">
        <f t="shared" si="1"/>
        <v>3.0645413999999995</v>
      </c>
      <c r="BD67" t="s">
        <v>22</v>
      </c>
      <c r="BE67" s="1">
        <f t="shared" si="46"/>
        <v>0</v>
      </c>
      <c r="BF67" s="1">
        <f t="shared" si="47"/>
        <v>1.1799481645116626E-4</v>
      </c>
      <c r="BG67" s="1">
        <f t="shared" si="48"/>
        <v>0</v>
      </c>
      <c r="BH67" s="1">
        <f t="shared" si="49"/>
        <v>1.320589110005171E-4</v>
      </c>
      <c r="BI67" s="1">
        <f t="shared" si="50"/>
        <v>3.7489850846851021E-3</v>
      </c>
      <c r="BJ67" s="1">
        <f t="shared" si="51"/>
        <v>1.846605824936808E-5</v>
      </c>
      <c r="BK67" s="1">
        <f t="shared" si="52"/>
        <v>4.1445026652274958E-5</v>
      </c>
      <c r="BL67" s="1">
        <f t="shared" si="53"/>
        <v>3.0926650232233774E-4</v>
      </c>
      <c r="BM67" s="1">
        <f t="shared" si="54"/>
        <v>4.4506169830174272E-4</v>
      </c>
      <c r="BN67" s="1">
        <f t="shared" si="55"/>
        <v>0.67229057176385354</v>
      </c>
      <c r="BO67" s="1">
        <f t="shared" si="56"/>
        <v>4.6278049955533323E-4</v>
      </c>
      <c r="BP67" s="1">
        <f t="shared" si="57"/>
        <v>9.4845218929005184E-3</v>
      </c>
      <c r="BQ67" s="1">
        <f t="shared" si="58"/>
        <v>1.6279140493908814E-3</v>
      </c>
      <c r="BR67" s="1">
        <f t="shared" si="59"/>
        <v>6.2091509026440314E-4</v>
      </c>
      <c r="BS67" s="1">
        <f t="shared" si="60"/>
        <v>5.5763645418528214E-5</v>
      </c>
      <c r="BT67" s="1">
        <f t="shared" si="61"/>
        <v>1.0086465139612734E-2</v>
      </c>
      <c r="BU67" s="1">
        <f t="shared" si="62"/>
        <v>1.0633610627678257E-2</v>
      </c>
      <c r="BV67" s="1">
        <f t="shared" si="63"/>
        <v>2.304615626990714E-3</v>
      </c>
      <c r="BW67" s="1">
        <f t="shared" si="64"/>
        <v>2.476814312249135E-4</v>
      </c>
      <c r="BX67" s="1">
        <f t="shared" si="65"/>
        <v>1.2095969726498069E-3</v>
      </c>
      <c r="BY67" s="1">
        <f t="shared" si="66"/>
        <v>0</v>
      </c>
      <c r="BZ67" s="1">
        <f t="shared" si="67"/>
        <v>0</v>
      </c>
      <c r="CA67" s="1">
        <f t="shared" si="68"/>
        <v>0</v>
      </c>
      <c r="CB67" s="1">
        <f t="shared" si="69"/>
        <v>0</v>
      </c>
      <c r="CC67" s="1">
        <f t="shared" si="70"/>
        <v>0</v>
      </c>
      <c r="CD67" s="1">
        <f t="shared" si="71"/>
        <v>2.8139074903670746E-2</v>
      </c>
      <c r="CE67" s="1">
        <f t="shared" si="72"/>
        <v>1.5577596700113109E-2</v>
      </c>
      <c r="CF67" s="1">
        <f t="shared" si="73"/>
        <v>6.4590414735464182E-5</v>
      </c>
      <c r="CG67" s="1">
        <f t="shared" si="74"/>
        <v>0</v>
      </c>
      <c r="CH67" s="1">
        <f t="shared" si="75"/>
        <v>0</v>
      </c>
      <c r="CI67" s="1">
        <f t="shared" si="76"/>
        <v>2.7929138108560063E-5</v>
      </c>
      <c r="CJ67" s="1">
        <f t="shared" si="77"/>
        <v>1.113507554507177E-2</v>
      </c>
      <c r="CK67" s="1">
        <f t="shared" si="78"/>
        <v>0</v>
      </c>
      <c r="CL67" s="1">
        <f t="shared" si="79"/>
        <v>7.1572007478835173E-2</v>
      </c>
      <c r="CM67" s="1">
        <f t="shared" si="80"/>
        <v>0</v>
      </c>
      <c r="CN67" s="1">
        <f t="shared" si="81"/>
        <v>3.2631309859282702E-9</v>
      </c>
      <c r="CO67" s="1">
        <f t="shared" si="82"/>
        <v>0</v>
      </c>
      <c r="CP67" s="1">
        <f t="shared" si="83"/>
        <v>0</v>
      </c>
      <c r="CQ67" s="1">
        <f t="shared" si="84"/>
        <v>0</v>
      </c>
      <c r="CR67" s="1">
        <f t="shared" si="85"/>
        <v>0</v>
      </c>
      <c r="CS67" s="1">
        <f t="shared" si="86"/>
        <v>0.15959335057441223</v>
      </c>
      <c r="CT67" s="1">
        <f t="shared" si="87"/>
        <v>5.2657144719924501E-5</v>
      </c>
    </row>
    <row r="68" spans="1:98" x14ac:dyDescent="0.25">
      <c r="A68" s="14"/>
      <c r="B68" s="11"/>
      <c r="C68" t="s">
        <v>23</v>
      </c>
      <c r="D68">
        <v>0</v>
      </c>
      <c r="E68">
        <v>6.3576586800000001</v>
      </c>
      <c r="F68">
        <v>10.964775380000001</v>
      </c>
      <c r="G68">
        <v>8.65287E-3</v>
      </c>
      <c r="H68">
        <v>0.13209162999999999</v>
      </c>
      <c r="I68">
        <v>1.747688E-2</v>
      </c>
      <c r="J68">
        <v>2.2677413899999999</v>
      </c>
      <c r="K68">
        <v>0.49811116999999999</v>
      </c>
      <c r="L68">
        <v>9.3790788000000003</v>
      </c>
      <c r="M68">
        <v>9.9875319000000005</v>
      </c>
      <c r="N68">
        <v>12.01303293</v>
      </c>
      <c r="O68">
        <v>5.6945229199999998</v>
      </c>
      <c r="P68">
        <v>2.0385464400000002</v>
      </c>
      <c r="Q68">
        <v>0.17227207</v>
      </c>
      <c r="R68">
        <v>4.076055E-2</v>
      </c>
      <c r="S68">
        <v>7.6331824499999996</v>
      </c>
      <c r="T68">
        <v>26.532127469999999</v>
      </c>
      <c r="U68">
        <v>1.62525224</v>
      </c>
      <c r="V68">
        <v>1.0348107600000001</v>
      </c>
      <c r="W68">
        <v>3.0920099999999999E-2</v>
      </c>
      <c r="X68">
        <v>0</v>
      </c>
      <c r="Y68">
        <v>0</v>
      </c>
      <c r="Z68">
        <v>0</v>
      </c>
      <c r="AA68">
        <v>0</v>
      </c>
      <c r="AB68">
        <v>0</v>
      </c>
      <c r="AC68">
        <v>11.747610679999999</v>
      </c>
      <c r="AD68">
        <v>8.7041153900000001</v>
      </c>
      <c r="AE68">
        <v>0.19288010999999999</v>
      </c>
      <c r="AF68">
        <v>7.0003799999999996E-3</v>
      </c>
      <c r="AG68">
        <v>0</v>
      </c>
      <c r="AH68">
        <v>1.044019E-2</v>
      </c>
      <c r="AI68">
        <v>2.63828218</v>
      </c>
      <c r="AJ68">
        <v>0</v>
      </c>
      <c r="AK68">
        <v>3.0632965799999998</v>
      </c>
      <c r="AL68">
        <v>0</v>
      </c>
      <c r="AM68">
        <v>1.23645E-2</v>
      </c>
      <c r="AN68">
        <v>0</v>
      </c>
      <c r="AO68">
        <v>0</v>
      </c>
      <c r="AP68">
        <v>0</v>
      </c>
      <c r="AQ68">
        <v>0</v>
      </c>
      <c r="AR68">
        <v>0.62701839000000004</v>
      </c>
      <c r="AS68">
        <v>1.247593E-2</v>
      </c>
      <c r="AT68" s="4">
        <v>55.488446840000002</v>
      </c>
      <c r="AU68">
        <v>0</v>
      </c>
      <c r="AV68">
        <v>55.488446840000002</v>
      </c>
      <c r="AW68">
        <v>0</v>
      </c>
      <c r="AX68">
        <v>0</v>
      </c>
      <c r="AY68" s="4">
        <v>0</v>
      </c>
      <c r="BB68" s="18"/>
      <c r="BC68" s="1">
        <f t="shared" ref="BC68:BC86" si="88">SUM(D68:AS68)+AV68</f>
        <v>178.93247779999999</v>
      </c>
      <c r="BD68" t="s">
        <v>23</v>
      </c>
      <c r="BE68" s="1">
        <f t="shared" si="46"/>
        <v>0</v>
      </c>
      <c r="BF68" s="1">
        <f t="shared" si="47"/>
        <v>3.5531049243649387E-2</v>
      </c>
      <c r="BG68" s="1">
        <f t="shared" si="48"/>
        <v>6.1278843923772017E-2</v>
      </c>
      <c r="BH68" s="1">
        <f t="shared" si="49"/>
        <v>4.8358297534289219E-5</v>
      </c>
      <c r="BI68" s="1">
        <f t="shared" si="50"/>
        <v>7.3822053784804848E-4</v>
      </c>
      <c r="BJ68" s="1">
        <f t="shared" si="51"/>
        <v>9.7673045245227146E-5</v>
      </c>
      <c r="BK68" s="1">
        <f t="shared" si="52"/>
        <v>1.2673727083435046E-2</v>
      </c>
      <c r="BL68" s="1">
        <f t="shared" si="53"/>
        <v>2.7837940664788585E-3</v>
      </c>
      <c r="BM68" s="1">
        <f t="shared" si="54"/>
        <v>5.241686090371684E-2</v>
      </c>
      <c r="BN68" s="1">
        <f t="shared" si="55"/>
        <v>5.5817322952200245E-2</v>
      </c>
      <c r="BO68" s="1">
        <f t="shared" si="56"/>
        <v>6.7137241252688898E-2</v>
      </c>
      <c r="BP68" s="1">
        <f t="shared" si="57"/>
        <v>3.1824982194484541E-2</v>
      </c>
      <c r="BQ68" s="1">
        <f t="shared" si="58"/>
        <v>1.1392825187826245E-2</v>
      </c>
      <c r="BR68" s="1">
        <f t="shared" si="59"/>
        <v>9.6277697664565631E-4</v>
      </c>
      <c r="BS68" s="1">
        <f t="shared" si="60"/>
        <v>2.2779849975340812E-4</v>
      </c>
      <c r="BT68" s="1">
        <f t="shared" si="61"/>
        <v>4.2659569374163105E-2</v>
      </c>
      <c r="BU68" s="1">
        <f t="shared" si="62"/>
        <v>0.14828010988399781</v>
      </c>
      <c r="BV68" s="1">
        <f t="shared" si="63"/>
        <v>9.0830477506526775E-3</v>
      </c>
      <c r="BW68" s="1">
        <f t="shared" si="64"/>
        <v>5.7832472490357487E-3</v>
      </c>
      <c r="BX68" s="1">
        <f t="shared" si="65"/>
        <v>1.72803173466142E-4</v>
      </c>
      <c r="BY68" s="1">
        <f t="shared" si="66"/>
        <v>0</v>
      </c>
      <c r="BZ68" s="1">
        <f t="shared" si="67"/>
        <v>0</v>
      </c>
      <c r="CA68" s="1">
        <f t="shared" si="68"/>
        <v>0</v>
      </c>
      <c r="CB68" s="1">
        <f t="shared" si="69"/>
        <v>0</v>
      </c>
      <c r="CC68" s="1">
        <f t="shared" si="70"/>
        <v>0</v>
      </c>
      <c r="CD68" s="1">
        <f t="shared" si="71"/>
        <v>6.5653875833155198E-2</v>
      </c>
      <c r="CE68" s="1">
        <f t="shared" si="72"/>
        <v>4.8644692662943724E-2</v>
      </c>
      <c r="CF68" s="1">
        <f t="shared" si="73"/>
        <v>1.0779491368559141E-3</v>
      </c>
      <c r="CG68" s="1">
        <f t="shared" si="74"/>
        <v>3.9123026104990319E-5</v>
      </c>
      <c r="CH68" s="1">
        <f t="shared" si="75"/>
        <v>0</v>
      </c>
      <c r="CI68" s="1">
        <f t="shared" si="76"/>
        <v>5.8347093430793595E-5</v>
      </c>
      <c r="CJ68" s="1">
        <f t="shared" si="77"/>
        <v>1.4744568523490263E-2</v>
      </c>
      <c r="CK68" s="1">
        <f t="shared" si="78"/>
        <v>0</v>
      </c>
      <c r="CL68" s="1">
        <f t="shared" si="79"/>
        <v>1.7119846646420273E-2</v>
      </c>
      <c r="CM68" s="1">
        <f t="shared" si="80"/>
        <v>0</v>
      </c>
      <c r="CN68" s="1">
        <f t="shared" si="81"/>
        <v>6.9101485387243665E-5</v>
      </c>
      <c r="CO68" s="1">
        <f t="shared" si="82"/>
        <v>0</v>
      </c>
      <c r="CP68" s="1">
        <f t="shared" si="83"/>
        <v>0</v>
      </c>
      <c r="CQ68" s="1">
        <f t="shared" si="84"/>
        <v>0</v>
      </c>
      <c r="CR68" s="1">
        <f t="shared" si="85"/>
        <v>0</v>
      </c>
      <c r="CS68" s="1">
        <f t="shared" si="86"/>
        <v>3.5042178910686277E-3</v>
      </c>
      <c r="CT68" s="1">
        <f t="shared" si="87"/>
        <v>6.9724234266430092E-5</v>
      </c>
    </row>
    <row r="69" spans="1:98" x14ac:dyDescent="0.25">
      <c r="A69" s="14"/>
      <c r="B69" s="11"/>
      <c r="C69" t="s">
        <v>24</v>
      </c>
      <c r="D69">
        <v>0</v>
      </c>
      <c r="E69">
        <v>6.1974500000000002E-3</v>
      </c>
      <c r="F69">
        <v>3.6997000000000001E-4</v>
      </c>
      <c r="G69">
        <v>4.2691500000000002E-3</v>
      </c>
      <c r="H69">
        <v>1.8808099999999999E-3</v>
      </c>
      <c r="I69">
        <v>1.4296999999999999E-4</v>
      </c>
      <c r="J69">
        <v>3.3108399999999998E-3</v>
      </c>
      <c r="K69">
        <v>8.9442369999999993E-2</v>
      </c>
      <c r="L69">
        <v>0.11076092999999999</v>
      </c>
      <c r="M69">
        <v>8.0615220000000001E-2</v>
      </c>
      <c r="N69">
        <v>6.7124000000000003E-4</v>
      </c>
      <c r="O69">
        <v>3.5713199999999998E-3</v>
      </c>
      <c r="P69">
        <v>2.0137390000000002E-2</v>
      </c>
      <c r="Q69">
        <v>4.2978999999999999E-4</v>
      </c>
      <c r="R69">
        <v>3.97446E-3</v>
      </c>
      <c r="S69">
        <v>0.17699509999999999</v>
      </c>
      <c r="T69">
        <v>25.39727495</v>
      </c>
      <c r="U69">
        <v>2.0183550000000001E-2</v>
      </c>
      <c r="V69">
        <v>5.5485100000000004E-3</v>
      </c>
      <c r="W69">
        <v>8.5213331100000005</v>
      </c>
      <c r="X69">
        <v>0</v>
      </c>
      <c r="Y69">
        <v>0</v>
      </c>
      <c r="Z69">
        <v>0</v>
      </c>
      <c r="AA69">
        <v>0</v>
      </c>
      <c r="AB69">
        <v>0</v>
      </c>
      <c r="AC69">
        <v>35.827738539999999</v>
      </c>
      <c r="AD69">
        <v>10.78752967</v>
      </c>
      <c r="AE69">
        <v>3.9609399999999996E-3</v>
      </c>
      <c r="AF69">
        <v>3.7837999999999999E-4</v>
      </c>
      <c r="AG69">
        <v>0</v>
      </c>
      <c r="AH69">
        <v>0.91482891</v>
      </c>
      <c r="AI69">
        <v>2.5800960700000002</v>
      </c>
      <c r="AJ69">
        <v>0</v>
      </c>
      <c r="AK69">
        <v>47.291552830000001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0.97893933</v>
      </c>
      <c r="AS69">
        <v>0.18062111</v>
      </c>
      <c r="AT69" s="4">
        <v>0</v>
      </c>
      <c r="AU69">
        <v>0</v>
      </c>
      <c r="AV69">
        <v>0</v>
      </c>
      <c r="AW69">
        <v>0</v>
      </c>
      <c r="AX69">
        <v>0</v>
      </c>
      <c r="AY69" s="4">
        <v>0</v>
      </c>
      <c r="BB69" s="18"/>
      <c r="BC69" s="1">
        <f t="shared" si="88"/>
        <v>133.01275491000001</v>
      </c>
      <c r="BD69" t="s">
        <v>24</v>
      </c>
      <c r="BE69" s="1">
        <f t="shared" si="46"/>
        <v>0</v>
      </c>
      <c r="BF69" s="1">
        <f t="shared" si="47"/>
        <v>4.659290008836642E-5</v>
      </c>
      <c r="BG69" s="1">
        <f t="shared" si="48"/>
        <v>2.7814625766553864E-6</v>
      </c>
      <c r="BH69" s="1">
        <f t="shared" si="49"/>
        <v>3.2095794143115231E-5</v>
      </c>
      <c r="BI69" s="1">
        <f t="shared" si="50"/>
        <v>1.4140072516147841E-5</v>
      </c>
      <c r="BJ69" s="1">
        <f t="shared" si="51"/>
        <v>1.074859325308594E-6</v>
      </c>
      <c r="BK69" s="1">
        <f t="shared" si="52"/>
        <v>2.489114673431283E-5</v>
      </c>
      <c r="BL69" s="1">
        <f t="shared" si="53"/>
        <v>6.7243453502274341E-4</v>
      </c>
      <c r="BM69" s="1">
        <f t="shared" si="54"/>
        <v>8.3270908925195787E-4</v>
      </c>
      <c r="BN69" s="1">
        <f t="shared" si="55"/>
        <v>6.0607135048474422E-4</v>
      </c>
      <c r="BO69" s="1">
        <f t="shared" si="56"/>
        <v>5.0464333323084613E-6</v>
      </c>
      <c r="BP69" s="1">
        <f t="shared" si="57"/>
        <v>2.6849455170043282E-5</v>
      </c>
      <c r="BQ69" s="1">
        <f t="shared" si="58"/>
        <v>1.5139442840369331E-4</v>
      </c>
      <c r="BR69" s="1">
        <f t="shared" si="59"/>
        <v>3.2311938828032499E-6</v>
      </c>
      <c r="BS69" s="1">
        <f t="shared" si="60"/>
        <v>2.988029232752322E-5</v>
      </c>
      <c r="BT69" s="1">
        <f t="shared" si="61"/>
        <v>1.3306626129182845E-3</v>
      </c>
      <c r="BU69" s="1">
        <f t="shared" si="62"/>
        <v>0.19093864319391382</v>
      </c>
      <c r="BV69" s="1">
        <f t="shared" si="63"/>
        <v>1.5174146279172047E-4</v>
      </c>
      <c r="BW69" s="1">
        <f t="shared" si="64"/>
        <v>4.1714119850793787E-5</v>
      </c>
      <c r="BX69" s="1">
        <f t="shared" si="65"/>
        <v>6.4064029917775642E-2</v>
      </c>
      <c r="BY69" s="1">
        <f t="shared" si="66"/>
        <v>0</v>
      </c>
      <c r="BZ69" s="1">
        <f t="shared" si="67"/>
        <v>0</v>
      </c>
      <c r="CA69" s="1">
        <f t="shared" si="68"/>
        <v>0</v>
      </c>
      <c r="CB69" s="1">
        <f t="shared" si="69"/>
        <v>0</v>
      </c>
      <c r="CC69" s="1">
        <f t="shared" si="70"/>
        <v>0</v>
      </c>
      <c r="CD69" s="1">
        <f t="shared" si="71"/>
        <v>0.26935566114875226</v>
      </c>
      <c r="CE69" s="1">
        <f t="shared" si="72"/>
        <v>8.1101467880273073E-2</v>
      </c>
      <c r="CF69" s="1">
        <f t="shared" si="73"/>
        <v>2.9778647940042123E-5</v>
      </c>
      <c r="CG69" s="1">
        <f t="shared" si="74"/>
        <v>2.8446895957911856E-6</v>
      </c>
      <c r="CH69" s="1">
        <f t="shared" si="75"/>
        <v>0</v>
      </c>
      <c r="CI69" s="1">
        <f t="shared" si="76"/>
        <v>6.8777532697446775E-3</v>
      </c>
      <c r="CJ69" s="1">
        <f t="shared" si="77"/>
        <v>1.9397358334136919E-2</v>
      </c>
      <c r="CK69" s="1">
        <f t="shared" si="78"/>
        <v>0</v>
      </c>
      <c r="CL69" s="1">
        <f t="shared" si="79"/>
        <v>0.3555414881978704</v>
      </c>
      <c r="CM69" s="1">
        <f t="shared" si="80"/>
        <v>0</v>
      </c>
      <c r="CN69" s="1">
        <f t="shared" si="81"/>
        <v>0</v>
      </c>
      <c r="CO69" s="1">
        <f t="shared" si="82"/>
        <v>0</v>
      </c>
      <c r="CP69" s="1">
        <f t="shared" si="83"/>
        <v>0</v>
      </c>
      <c r="CQ69" s="1">
        <f t="shared" si="84"/>
        <v>0</v>
      </c>
      <c r="CR69" s="1">
        <f t="shared" si="85"/>
        <v>0</v>
      </c>
      <c r="CS69" s="1">
        <f t="shared" si="86"/>
        <v>7.3597402795121157E-3</v>
      </c>
      <c r="CT69" s="1">
        <f t="shared" si="87"/>
        <v>1.3579232316646105E-3</v>
      </c>
    </row>
    <row r="70" spans="1:98" x14ac:dyDescent="0.25">
      <c r="A70" s="14"/>
      <c r="B70" s="11"/>
      <c r="C70" t="s">
        <v>25</v>
      </c>
      <c r="D70">
        <v>0</v>
      </c>
      <c r="E70">
        <v>6.1021799999999996E-3</v>
      </c>
      <c r="F70">
        <v>3.0791999999999999E-4</v>
      </c>
      <c r="G70">
        <v>2.2157349999999999E-2</v>
      </c>
      <c r="H70">
        <v>0.25576114999999999</v>
      </c>
      <c r="I70">
        <v>1.80748E-3</v>
      </c>
      <c r="J70">
        <v>6.3373600000000002E-3</v>
      </c>
      <c r="K70">
        <v>0.83159430999999995</v>
      </c>
      <c r="L70">
        <v>3.2397967200000002</v>
      </c>
      <c r="M70">
        <v>0.61057289999999997</v>
      </c>
      <c r="N70">
        <v>1.718774E-2</v>
      </c>
      <c r="O70">
        <v>0.11099085</v>
      </c>
      <c r="P70">
        <v>0.39278848999999999</v>
      </c>
      <c r="Q70">
        <v>1.416857E-2</v>
      </c>
      <c r="R70">
        <v>2.5854269699999999</v>
      </c>
      <c r="S70">
        <v>6.9029800000000002E-2</v>
      </c>
      <c r="T70">
        <v>9.4745696699999993</v>
      </c>
      <c r="U70">
        <v>0.1530601</v>
      </c>
      <c r="V70">
        <v>8.0675520000000001E-2</v>
      </c>
      <c r="W70">
        <v>18.546868679999999</v>
      </c>
      <c r="X70">
        <v>0</v>
      </c>
      <c r="Y70">
        <v>0</v>
      </c>
      <c r="Z70">
        <v>0</v>
      </c>
      <c r="AA70">
        <v>0</v>
      </c>
      <c r="AB70">
        <v>0</v>
      </c>
      <c r="AC70">
        <v>237.85094895</v>
      </c>
      <c r="AD70">
        <v>11.13601162</v>
      </c>
      <c r="AE70">
        <v>4.7348700000000004E-3</v>
      </c>
      <c r="AF70">
        <v>1.06336E-3</v>
      </c>
      <c r="AG70">
        <v>0</v>
      </c>
      <c r="AH70">
        <v>0.26885805000000002</v>
      </c>
      <c r="AI70">
        <v>3.3229068499999999</v>
      </c>
      <c r="AJ70">
        <v>0</v>
      </c>
      <c r="AK70">
        <v>10.00954432</v>
      </c>
      <c r="AL70">
        <v>0</v>
      </c>
      <c r="AM70">
        <v>5.9999999999999995E-8</v>
      </c>
      <c r="AN70">
        <v>0</v>
      </c>
      <c r="AO70">
        <v>0</v>
      </c>
      <c r="AP70">
        <v>0</v>
      </c>
      <c r="AQ70">
        <v>0</v>
      </c>
      <c r="AR70">
        <v>0.69399816999999997</v>
      </c>
      <c r="AS70">
        <v>0.64841168000000005</v>
      </c>
      <c r="AT70" s="4">
        <v>0</v>
      </c>
      <c r="AU70">
        <v>0</v>
      </c>
      <c r="AV70">
        <v>120.01036408</v>
      </c>
      <c r="AW70">
        <v>120.01036408</v>
      </c>
      <c r="AX70">
        <v>0</v>
      </c>
      <c r="AY70" s="4">
        <v>0</v>
      </c>
      <c r="BB70" s="18"/>
      <c r="BC70" s="1">
        <f t="shared" si="88"/>
        <v>420.36604576999986</v>
      </c>
      <c r="BD70" t="s">
        <v>25</v>
      </c>
      <c r="BE70" s="1">
        <f t="shared" si="46"/>
        <v>0</v>
      </c>
      <c r="BF70" s="1">
        <f t="shared" si="47"/>
        <v>1.4516348457265175E-5</v>
      </c>
      <c r="BG70" s="1">
        <f t="shared" si="48"/>
        <v>7.3250445200913327E-7</v>
      </c>
      <c r="BH70" s="1">
        <f t="shared" si="49"/>
        <v>5.2709656793077973E-5</v>
      </c>
      <c r="BI70" s="1">
        <f t="shared" si="50"/>
        <v>6.0842485394250372E-4</v>
      </c>
      <c r="BJ70" s="1">
        <f t="shared" si="51"/>
        <v>4.2997763929509883E-6</v>
      </c>
      <c r="BK70" s="1">
        <f t="shared" si="52"/>
        <v>1.5075813243649654E-5</v>
      </c>
      <c r="BL70" s="1">
        <f t="shared" si="53"/>
        <v>1.9782623224878647E-3</v>
      </c>
      <c r="BM70" s="1">
        <f t="shared" si="54"/>
        <v>7.7070847005864763E-3</v>
      </c>
      <c r="BN70" s="1">
        <f t="shared" si="55"/>
        <v>1.452479109918574E-3</v>
      </c>
      <c r="BO70" s="1">
        <f t="shared" si="56"/>
        <v>4.0887555436397312E-5</v>
      </c>
      <c r="BP70" s="1">
        <f t="shared" si="57"/>
        <v>2.640338131893931E-4</v>
      </c>
      <c r="BQ70" s="1">
        <f t="shared" si="58"/>
        <v>9.3439632899111765E-4</v>
      </c>
      <c r="BR70" s="1">
        <f t="shared" si="59"/>
        <v>3.3705315028588743E-5</v>
      </c>
      <c r="BS70" s="1">
        <f t="shared" si="60"/>
        <v>6.150418179622902E-3</v>
      </c>
      <c r="BT70" s="1">
        <f t="shared" si="61"/>
        <v>1.6421354839341412E-4</v>
      </c>
      <c r="BU70" s="1">
        <f t="shared" si="62"/>
        <v>2.2538855755214682E-2</v>
      </c>
      <c r="BV70" s="1">
        <f t="shared" si="63"/>
        <v>3.6411147270382939E-4</v>
      </c>
      <c r="BW70" s="1">
        <f t="shared" si="64"/>
        <v>1.919173082883602E-4</v>
      </c>
      <c r="BX70" s="1">
        <f t="shared" si="65"/>
        <v>4.412075824541685E-2</v>
      </c>
      <c r="BY70" s="1">
        <f t="shared" si="66"/>
        <v>0</v>
      </c>
      <c r="BZ70" s="1">
        <f t="shared" si="67"/>
        <v>0</v>
      </c>
      <c r="CA70" s="1">
        <f t="shared" si="68"/>
        <v>0</v>
      </c>
      <c r="CB70" s="1">
        <f t="shared" si="69"/>
        <v>0</v>
      </c>
      <c r="CC70" s="1">
        <f t="shared" si="70"/>
        <v>0</v>
      </c>
      <c r="CD70" s="1">
        <f t="shared" si="71"/>
        <v>0.56581865101478335</v>
      </c>
      <c r="CE70" s="1">
        <f t="shared" si="72"/>
        <v>2.6491225283435439E-2</v>
      </c>
      <c r="CF70" s="1">
        <f t="shared" si="73"/>
        <v>1.1263683277099524E-5</v>
      </c>
      <c r="CG70" s="1">
        <f t="shared" si="74"/>
        <v>2.5296048781775525E-6</v>
      </c>
      <c r="CH70" s="1">
        <f t="shared" si="75"/>
        <v>0</v>
      </c>
      <c r="CI70" s="1">
        <f t="shared" si="76"/>
        <v>6.3958079560760643E-4</v>
      </c>
      <c r="CJ70" s="1">
        <f t="shared" si="77"/>
        <v>7.9047936517168266E-3</v>
      </c>
      <c r="CK70" s="1">
        <f t="shared" si="78"/>
        <v>0</v>
      </c>
      <c r="CL70" s="1">
        <f t="shared" si="79"/>
        <v>2.3811495768325322E-2</v>
      </c>
      <c r="CM70" s="1">
        <f t="shared" si="80"/>
        <v>0</v>
      </c>
      <c r="CN70" s="1">
        <f t="shared" si="81"/>
        <v>1.4273274590980772E-10</v>
      </c>
      <c r="CO70" s="1">
        <f t="shared" si="82"/>
        <v>0</v>
      </c>
      <c r="CP70" s="1">
        <f t="shared" si="83"/>
        <v>0</v>
      </c>
      <c r="CQ70" s="1">
        <f t="shared" si="84"/>
        <v>0</v>
      </c>
      <c r="CR70" s="1">
        <f t="shared" si="85"/>
        <v>0</v>
      </c>
      <c r="CS70" s="1">
        <f t="shared" si="86"/>
        <v>1.6509377410080259E-3</v>
      </c>
      <c r="CT70" s="1">
        <f t="shared" si="87"/>
        <v>1.5424929927731928E-3</v>
      </c>
    </row>
    <row r="71" spans="1:98" x14ac:dyDescent="0.25">
      <c r="A71" s="14"/>
      <c r="B71" s="11"/>
      <c r="C71" t="s">
        <v>26</v>
      </c>
      <c r="D71">
        <v>0</v>
      </c>
      <c r="E71">
        <v>1.5760860000000002E-2</v>
      </c>
      <c r="F71">
        <v>4.9650000000000001E-5</v>
      </c>
      <c r="G71">
        <v>13.72430112</v>
      </c>
      <c r="H71">
        <v>5.0258089999999998E-2</v>
      </c>
      <c r="I71">
        <v>3.04528E-3</v>
      </c>
      <c r="J71">
        <v>5.5930600000000004E-3</v>
      </c>
      <c r="K71">
        <v>4.9696049999999999E-2</v>
      </c>
      <c r="L71">
        <v>2.9052809999999998E-2</v>
      </c>
      <c r="M71">
        <v>0.42855937</v>
      </c>
      <c r="N71">
        <v>1.3585E-4</v>
      </c>
      <c r="O71">
        <v>7.9528639999999998E-2</v>
      </c>
      <c r="P71">
        <v>5.8384209999999999E-2</v>
      </c>
      <c r="Q71">
        <v>2.3547500000000001E-3</v>
      </c>
      <c r="R71">
        <v>4.0001300000000002E-3</v>
      </c>
      <c r="S71">
        <v>5.60846E-3</v>
      </c>
      <c r="T71">
        <v>1.4313327</v>
      </c>
      <c r="U71">
        <v>6.5609000000000002E-4</v>
      </c>
      <c r="V71">
        <v>9.7109390000000004E-2</v>
      </c>
      <c r="W71">
        <v>2.8228999999999998E-4</v>
      </c>
      <c r="X71">
        <v>0</v>
      </c>
      <c r="Y71">
        <v>0</v>
      </c>
      <c r="Z71">
        <v>0</v>
      </c>
      <c r="AA71">
        <v>0</v>
      </c>
      <c r="AB71">
        <v>0</v>
      </c>
      <c r="AC71">
        <v>1.9435692600000001</v>
      </c>
      <c r="AD71">
        <v>2.14006645</v>
      </c>
      <c r="AE71">
        <v>2.9612387600000001</v>
      </c>
      <c r="AF71">
        <v>4.1919E-4</v>
      </c>
      <c r="AG71">
        <v>0</v>
      </c>
      <c r="AH71">
        <v>3.3082689999999998E-2</v>
      </c>
      <c r="AI71">
        <v>8.0046839999999994E-2</v>
      </c>
      <c r="AJ71">
        <v>0</v>
      </c>
      <c r="AK71">
        <v>3.1551135000000001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0.69230236000000001</v>
      </c>
      <c r="AS71">
        <v>1.1775E-4</v>
      </c>
      <c r="AT71" s="4">
        <v>0</v>
      </c>
      <c r="AU71">
        <v>0</v>
      </c>
      <c r="AV71">
        <v>143.10961184999999</v>
      </c>
      <c r="AW71">
        <v>143.10961184999999</v>
      </c>
      <c r="AX71">
        <v>0</v>
      </c>
      <c r="AY71" s="4">
        <v>0</v>
      </c>
      <c r="BB71" s="18"/>
      <c r="BC71" s="1">
        <f t="shared" si="88"/>
        <v>170.10127745</v>
      </c>
      <c r="BD71" t="s">
        <v>26</v>
      </c>
      <c r="BE71" s="1">
        <f t="shared" si="46"/>
        <v>0</v>
      </c>
      <c r="BF71" s="1">
        <f t="shared" si="47"/>
        <v>9.2655741545696443E-5</v>
      </c>
      <c r="BG71" s="1">
        <f t="shared" si="48"/>
        <v>2.9188493316632645E-7</v>
      </c>
      <c r="BH71" s="1">
        <f t="shared" si="49"/>
        <v>8.0683116116127676E-2</v>
      </c>
      <c r="BI71" s="1">
        <f t="shared" si="50"/>
        <v>2.9545980343841327E-4</v>
      </c>
      <c r="BJ71" s="1">
        <f t="shared" si="51"/>
        <v>1.7902746208917434E-5</v>
      </c>
      <c r="BK71" s="1">
        <f t="shared" si="52"/>
        <v>3.2880764235553954E-5</v>
      </c>
      <c r="BL71" s="1">
        <f t="shared" si="53"/>
        <v>2.9215565423726923E-4</v>
      </c>
      <c r="BM71" s="1">
        <f t="shared" si="54"/>
        <v>1.707971300129704E-4</v>
      </c>
      <c r="BN71" s="1">
        <f t="shared" si="55"/>
        <v>2.5194365170242289E-3</v>
      </c>
      <c r="BO71" s="1">
        <f t="shared" si="56"/>
        <v>7.9864185640776322E-7</v>
      </c>
      <c r="BP71" s="1">
        <f t="shared" si="57"/>
        <v>4.6753699438487078E-4</v>
      </c>
      <c r="BQ71" s="1">
        <f t="shared" si="58"/>
        <v>3.4323204901951193E-4</v>
      </c>
      <c r="BR71" s="1">
        <f t="shared" si="59"/>
        <v>1.3843223491911524E-5</v>
      </c>
      <c r="BS71" s="1">
        <f t="shared" si="60"/>
        <v>2.3516166721180613E-5</v>
      </c>
      <c r="BT71" s="1">
        <f t="shared" si="61"/>
        <v>3.2971298535065761E-5</v>
      </c>
      <c r="BU71" s="1">
        <f t="shared" si="62"/>
        <v>8.4145911274577552E-3</v>
      </c>
      <c r="BV71" s="1">
        <f t="shared" si="63"/>
        <v>3.8570551017340408E-6</v>
      </c>
      <c r="BW71" s="1">
        <f t="shared" si="64"/>
        <v>5.7089159738112245E-4</v>
      </c>
      <c r="BX71" s="1">
        <f t="shared" si="65"/>
        <v>1.6595407408564409E-6</v>
      </c>
      <c r="BY71" s="1">
        <f t="shared" si="66"/>
        <v>0</v>
      </c>
      <c r="BZ71" s="1">
        <f t="shared" si="67"/>
        <v>0</v>
      </c>
      <c r="CA71" s="1">
        <f t="shared" si="68"/>
        <v>0</v>
      </c>
      <c r="CB71" s="1">
        <f t="shared" si="69"/>
        <v>0</v>
      </c>
      <c r="CC71" s="1">
        <f t="shared" si="70"/>
        <v>0</v>
      </c>
      <c r="CD71" s="1">
        <f t="shared" si="71"/>
        <v>1.1425953344596708E-2</v>
      </c>
      <c r="CE71" s="1">
        <f t="shared" si="72"/>
        <v>1.2581130971394712E-2</v>
      </c>
      <c r="CF71" s="1">
        <f t="shared" si="73"/>
        <v>1.7408680313235357E-2</v>
      </c>
      <c r="CG71" s="1">
        <f t="shared" si="74"/>
        <v>2.464355390412737E-6</v>
      </c>
      <c r="CH71" s="1">
        <f t="shared" si="75"/>
        <v>0</v>
      </c>
      <c r="CI71" s="1">
        <f t="shared" si="76"/>
        <v>1.9448819254002609E-4</v>
      </c>
      <c r="CJ71" s="1">
        <f t="shared" si="77"/>
        <v>4.7058341477493706E-4</v>
      </c>
      <c r="CK71" s="1">
        <f t="shared" si="78"/>
        <v>0</v>
      </c>
      <c r="CL71" s="1">
        <f t="shared" si="79"/>
        <v>1.8548440948231104E-2</v>
      </c>
      <c r="CM71" s="1">
        <f t="shared" si="80"/>
        <v>0</v>
      </c>
      <c r="CN71" s="1">
        <f t="shared" si="81"/>
        <v>0</v>
      </c>
      <c r="CO71" s="1">
        <f t="shared" si="82"/>
        <v>0</v>
      </c>
      <c r="CP71" s="1">
        <f t="shared" si="83"/>
        <v>0</v>
      </c>
      <c r="CQ71" s="1">
        <f t="shared" si="84"/>
        <v>0</v>
      </c>
      <c r="CR71" s="1">
        <f t="shared" si="85"/>
        <v>0</v>
      </c>
      <c r="CS71" s="1">
        <f t="shared" si="86"/>
        <v>4.0699421566866073E-3</v>
      </c>
      <c r="CT71" s="1">
        <f t="shared" si="87"/>
        <v>6.9223466022829683E-7</v>
      </c>
    </row>
    <row r="72" spans="1:98" x14ac:dyDescent="0.25">
      <c r="A72" s="14"/>
      <c r="B72" s="11"/>
      <c r="C72" t="s">
        <v>27</v>
      </c>
      <c r="D72">
        <v>0</v>
      </c>
      <c r="E72">
        <v>1.5338910000000001E-2</v>
      </c>
      <c r="F72">
        <v>1.166202E-2</v>
      </c>
      <c r="G72">
        <v>7.2554768300000001</v>
      </c>
      <c r="H72">
        <v>3.88077E-3</v>
      </c>
      <c r="I72">
        <v>1.0229799999999999E-3</v>
      </c>
      <c r="J72">
        <v>1.585307E-2</v>
      </c>
      <c r="K72">
        <v>0.22161486999999999</v>
      </c>
      <c r="L72">
        <v>0.17703144000000001</v>
      </c>
      <c r="M72">
        <v>13.836823450000001</v>
      </c>
      <c r="N72">
        <v>2.556056E-2</v>
      </c>
      <c r="O72">
        <v>0.12480392</v>
      </c>
      <c r="P72">
        <v>3.3727479999999997E-2</v>
      </c>
      <c r="Q72">
        <v>0.12403761000000001</v>
      </c>
      <c r="R72">
        <v>2.9662239999999999E-2</v>
      </c>
      <c r="S72">
        <v>2.3310800000000001E-3</v>
      </c>
      <c r="T72">
        <v>1.2543739999999999E-2</v>
      </c>
      <c r="U72">
        <v>2.8594749999999999E-2</v>
      </c>
      <c r="V72">
        <v>2.7439379999999999E-2</v>
      </c>
      <c r="W72">
        <v>0.31115914</v>
      </c>
      <c r="X72">
        <v>0</v>
      </c>
      <c r="Y72">
        <v>0</v>
      </c>
      <c r="Z72">
        <v>0</v>
      </c>
      <c r="AA72">
        <v>0</v>
      </c>
      <c r="AB72">
        <v>0</v>
      </c>
      <c r="AC72">
        <v>2.1174398499999998</v>
      </c>
      <c r="AD72">
        <v>0.66840147000000005</v>
      </c>
      <c r="AE72">
        <v>129.55199346000001</v>
      </c>
      <c r="AF72">
        <v>4.99301E-3</v>
      </c>
      <c r="AG72">
        <v>0</v>
      </c>
      <c r="AH72">
        <v>4.95839E-3</v>
      </c>
      <c r="AI72">
        <v>0.21505827</v>
      </c>
      <c r="AJ72">
        <v>0</v>
      </c>
      <c r="AK72">
        <v>0.65888548000000002</v>
      </c>
      <c r="AL72">
        <v>0</v>
      </c>
      <c r="AM72">
        <v>1.9910000000000001E-5</v>
      </c>
      <c r="AN72">
        <v>0</v>
      </c>
      <c r="AO72">
        <v>0</v>
      </c>
      <c r="AP72">
        <v>0</v>
      </c>
      <c r="AQ72">
        <v>0</v>
      </c>
      <c r="AR72">
        <v>6.5887599999999999E-3</v>
      </c>
      <c r="AS72">
        <v>2.3896E-3</v>
      </c>
      <c r="AT72" s="4">
        <v>3.0894653000000001</v>
      </c>
      <c r="AU72">
        <v>66.248615650000005</v>
      </c>
      <c r="AV72">
        <v>236.77915952999999</v>
      </c>
      <c r="AW72">
        <v>167.25004970000001</v>
      </c>
      <c r="AX72">
        <v>0.19102888000000001</v>
      </c>
      <c r="AY72" s="4">
        <v>0</v>
      </c>
      <c r="BB72" s="18"/>
      <c r="BC72" s="1">
        <f t="shared" si="88"/>
        <v>392.26845197</v>
      </c>
      <c r="BD72" t="s">
        <v>27</v>
      </c>
      <c r="BE72" s="1">
        <f t="shared" si="46"/>
        <v>0</v>
      </c>
      <c r="BF72" s="1">
        <f t="shared" si="47"/>
        <v>3.9103093616034902E-5</v>
      </c>
      <c r="BG72" s="1">
        <f t="shared" si="48"/>
        <v>2.9729691341305956E-5</v>
      </c>
      <c r="BH72" s="1">
        <f t="shared" si="49"/>
        <v>1.8496202775325113E-2</v>
      </c>
      <c r="BI72" s="1">
        <f t="shared" si="50"/>
        <v>9.8931483796632061E-6</v>
      </c>
      <c r="BJ72" s="1">
        <f t="shared" si="51"/>
        <v>2.6078569277302874E-6</v>
      </c>
      <c r="BK72" s="1">
        <f t="shared" si="52"/>
        <v>4.0413828643075314E-5</v>
      </c>
      <c r="BL72" s="1">
        <f t="shared" si="53"/>
        <v>5.6495715851487521E-4</v>
      </c>
      <c r="BM72" s="1">
        <f t="shared" si="54"/>
        <v>4.513017529473389E-4</v>
      </c>
      <c r="BN72" s="1">
        <f t="shared" si="55"/>
        <v>3.5273862530903241E-2</v>
      </c>
      <c r="BO72" s="1">
        <f t="shared" si="56"/>
        <v>6.516088630536831E-5</v>
      </c>
      <c r="BP72" s="1">
        <f t="shared" si="57"/>
        <v>3.1815946292195016E-4</v>
      </c>
      <c r="BQ72" s="1">
        <f t="shared" si="58"/>
        <v>8.5980608001021234E-5</v>
      </c>
      <c r="BR72" s="1">
        <f t="shared" si="59"/>
        <v>3.1620592830515514E-4</v>
      </c>
      <c r="BS72" s="1">
        <f t="shared" si="60"/>
        <v>7.5617194936360868E-5</v>
      </c>
      <c r="BT72" s="1">
        <f t="shared" si="61"/>
        <v>5.9425630286941272E-6</v>
      </c>
      <c r="BU72" s="1">
        <f t="shared" si="62"/>
        <v>3.1977437739396186E-5</v>
      </c>
      <c r="BV72" s="1">
        <f t="shared" si="63"/>
        <v>7.2895869796296727E-5</v>
      </c>
      <c r="BW72" s="1">
        <f t="shared" si="64"/>
        <v>6.9950514404606049E-5</v>
      </c>
      <c r="BX72" s="1">
        <f t="shared" si="65"/>
        <v>7.9323009137578294E-4</v>
      </c>
      <c r="BY72" s="1">
        <f t="shared" si="66"/>
        <v>0</v>
      </c>
      <c r="BZ72" s="1">
        <f t="shared" si="67"/>
        <v>0</v>
      </c>
      <c r="CA72" s="1">
        <f t="shared" si="68"/>
        <v>0</v>
      </c>
      <c r="CB72" s="1">
        <f t="shared" si="69"/>
        <v>0</v>
      </c>
      <c r="CC72" s="1">
        <f t="shared" si="70"/>
        <v>0</v>
      </c>
      <c r="CD72" s="1">
        <f t="shared" si="71"/>
        <v>5.3979356212972684E-3</v>
      </c>
      <c r="CE72" s="1">
        <f t="shared" si="72"/>
        <v>1.7039388883894192E-3</v>
      </c>
      <c r="CF72" s="1">
        <f t="shared" si="73"/>
        <v>0.33026360598049803</v>
      </c>
      <c r="CG72" s="1">
        <f t="shared" si="74"/>
        <v>1.2728553557964577E-5</v>
      </c>
      <c r="CH72" s="1">
        <f t="shared" si="75"/>
        <v>0</v>
      </c>
      <c r="CI72" s="1">
        <f t="shared" si="76"/>
        <v>1.2640297671399812E-5</v>
      </c>
      <c r="CJ72" s="1">
        <f t="shared" si="77"/>
        <v>5.4824258468903655E-4</v>
      </c>
      <c r="CK72" s="1">
        <f t="shared" si="78"/>
        <v>0</v>
      </c>
      <c r="CL72" s="1">
        <f t="shared" si="79"/>
        <v>1.6796800168125436E-3</v>
      </c>
      <c r="CM72" s="1">
        <f t="shared" si="80"/>
        <v>0</v>
      </c>
      <c r="CN72" s="1">
        <f t="shared" si="81"/>
        <v>5.0756057235830638E-8</v>
      </c>
      <c r="CO72" s="1">
        <f t="shared" si="82"/>
        <v>0</v>
      </c>
      <c r="CP72" s="1">
        <f t="shared" si="83"/>
        <v>0</v>
      </c>
      <c r="CQ72" s="1">
        <f t="shared" si="84"/>
        <v>0</v>
      </c>
      <c r="CR72" s="1">
        <f t="shared" si="85"/>
        <v>0</v>
      </c>
      <c r="CS72" s="1">
        <f t="shared" si="86"/>
        <v>1.6796558496893592E-5</v>
      </c>
      <c r="CT72" s="1">
        <f t="shared" si="87"/>
        <v>6.0917465781386684E-6</v>
      </c>
    </row>
    <row r="73" spans="1:98" x14ac:dyDescent="0.25">
      <c r="A73" s="14"/>
      <c r="B73" s="11"/>
      <c r="C73" t="s">
        <v>28</v>
      </c>
      <c r="D73">
        <v>0</v>
      </c>
      <c r="E73">
        <v>4.8347199999999998E-3</v>
      </c>
      <c r="F73">
        <v>1.47759E-3</v>
      </c>
      <c r="G73">
        <v>6.9735999999999995E-4</v>
      </c>
      <c r="H73">
        <v>8.7178399999999993E-3</v>
      </c>
      <c r="I73">
        <v>9.9361999999999996E-4</v>
      </c>
      <c r="J73">
        <v>0.14293126</v>
      </c>
      <c r="K73">
        <v>5.2624899999999999E-3</v>
      </c>
      <c r="L73">
        <v>2.3368259999999998E-2</v>
      </c>
      <c r="M73">
        <v>0.26205764999999998</v>
      </c>
      <c r="N73">
        <v>0.26470808000000001</v>
      </c>
      <c r="O73">
        <v>0.18870049</v>
      </c>
      <c r="P73">
        <v>0.13577322</v>
      </c>
      <c r="Q73">
        <v>6.2094160000000002E-2</v>
      </c>
      <c r="R73">
        <v>3.1414899999999998E-3</v>
      </c>
      <c r="S73">
        <v>4.2452940000000002E-2</v>
      </c>
      <c r="T73">
        <v>0.38951996</v>
      </c>
      <c r="U73">
        <v>5.3964659999999998E-2</v>
      </c>
      <c r="V73">
        <v>9.2405070000000006E-2</v>
      </c>
      <c r="W73">
        <v>4.6961759999999998E-2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0.38626278000000003</v>
      </c>
      <c r="AD73">
        <v>0.1663116</v>
      </c>
      <c r="AE73">
        <v>3.0993800000000001E-3</v>
      </c>
      <c r="AF73">
        <v>84.948493880000001</v>
      </c>
      <c r="AG73">
        <v>1E-8</v>
      </c>
      <c r="AH73">
        <v>1.6699799999999999E-3</v>
      </c>
      <c r="AI73">
        <v>0.13300037000000001</v>
      </c>
      <c r="AJ73">
        <v>0</v>
      </c>
      <c r="AK73">
        <v>0.61333451999999999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2.1732729999999999E-2</v>
      </c>
      <c r="AS73">
        <v>1.1555700000000001E-3</v>
      </c>
      <c r="AT73" s="4">
        <v>0</v>
      </c>
      <c r="AU73">
        <v>3.3709402100000001</v>
      </c>
      <c r="AV73">
        <v>4.7541962099999999</v>
      </c>
      <c r="AW73">
        <v>0</v>
      </c>
      <c r="AX73">
        <v>1.383256</v>
      </c>
      <c r="AY73" s="4">
        <v>0</v>
      </c>
      <c r="BB73" s="18"/>
      <c r="BC73" s="1">
        <f t="shared" si="88"/>
        <v>92.759319649999995</v>
      </c>
      <c r="BD73" t="s">
        <v>28</v>
      </c>
      <c r="BE73" s="1">
        <f t="shared" si="46"/>
        <v>0</v>
      </c>
      <c r="BF73" s="1">
        <f t="shared" si="47"/>
        <v>5.2121123982392208E-5</v>
      </c>
      <c r="BG73" s="1">
        <f t="shared" si="48"/>
        <v>1.5929288890596127E-5</v>
      </c>
      <c r="BH73" s="1">
        <f t="shared" si="49"/>
        <v>7.5179507852287272E-6</v>
      </c>
      <c r="BI73" s="1">
        <f t="shared" si="50"/>
        <v>9.398344050920386E-5</v>
      </c>
      <c r="BJ73" s="1">
        <f t="shared" si="51"/>
        <v>1.0711807759577504E-5</v>
      </c>
      <c r="BK73" s="1">
        <f t="shared" si="52"/>
        <v>1.5408830135808355E-3</v>
      </c>
      <c r="BL73" s="1">
        <f t="shared" si="53"/>
        <v>5.6732736072843761E-5</v>
      </c>
      <c r="BM73" s="1">
        <f t="shared" si="54"/>
        <v>2.5192358124416232E-4</v>
      </c>
      <c r="BN73" s="1">
        <f t="shared" si="55"/>
        <v>2.8251355334299286E-3</v>
      </c>
      <c r="BO73" s="1">
        <f t="shared" si="56"/>
        <v>2.8537087270454125E-3</v>
      </c>
      <c r="BP73" s="1">
        <f t="shared" si="57"/>
        <v>2.0343022211892648E-3</v>
      </c>
      <c r="BQ73" s="1">
        <f t="shared" si="58"/>
        <v>1.4637151340943454E-3</v>
      </c>
      <c r="BR73" s="1">
        <f t="shared" si="59"/>
        <v>6.6941155060530892E-4</v>
      </c>
      <c r="BS73" s="1">
        <f t="shared" si="60"/>
        <v>3.3867109114787477E-5</v>
      </c>
      <c r="BT73" s="1">
        <f t="shared" si="61"/>
        <v>4.5766765172689585E-4</v>
      </c>
      <c r="BU73" s="1">
        <f t="shared" si="62"/>
        <v>4.1992541716534678E-3</v>
      </c>
      <c r="BV73" s="1">
        <f t="shared" si="63"/>
        <v>5.8177076118733691E-4</v>
      </c>
      <c r="BW73" s="1">
        <f>V73/$BC73</f>
        <v>9.9618098050593029E-4</v>
      </c>
      <c r="BX73" s="1">
        <f t="shared" si="65"/>
        <v>5.0627538210927363E-4</v>
      </c>
      <c r="BY73" s="1">
        <f t="shared" si="66"/>
        <v>0</v>
      </c>
      <c r="BZ73" s="1">
        <f t="shared" si="67"/>
        <v>0</v>
      </c>
      <c r="CA73" s="1">
        <f t="shared" si="68"/>
        <v>0</v>
      </c>
      <c r="CB73" s="1">
        <f t="shared" si="69"/>
        <v>0</v>
      </c>
      <c r="CC73" s="1">
        <f t="shared" si="70"/>
        <v>0</v>
      </c>
      <c r="CD73" s="1">
        <f t="shared" si="71"/>
        <v>4.1641398563233211E-3</v>
      </c>
      <c r="CE73" s="1">
        <f t="shared" si="72"/>
        <v>1.7929368243269561E-3</v>
      </c>
      <c r="CF73" s="1">
        <f t="shared" si="73"/>
        <v>3.341313855787859E-5</v>
      </c>
      <c r="CG73" s="1">
        <f t="shared" si="74"/>
        <v>0.9157947061333368</v>
      </c>
      <c r="CH73" s="1">
        <f t="shared" si="75"/>
        <v>1.0780587910446151E-10</v>
      </c>
      <c r="CI73" s="1">
        <f t="shared" si="76"/>
        <v>1.8003366198686863E-5</v>
      </c>
      <c r="CJ73" s="1">
        <f t="shared" si="77"/>
        <v>1.433822180906865E-3</v>
      </c>
      <c r="CK73" s="1">
        <f t="shared" si="78"/>
        <v>0</v>
      </c>
      <c r="CL73" s="1">
        <f t="shared" si="79"/>
        <v>6.612106711371293E-3</v>
      </c>
      <c r="CM73" s="1">
        <f t="shared" si="80"/>
        <v>0</v>
      </c>
      <c r="CN73" s="1">
        <f t="shared" si="81"/>
        <v>0</v>
      </c>
      <c r="CO73" s="1">
        <f t="shared" si="82"/>
        <v>0</v>
      </c>
      <c r="CP73" s="1">
        <f t="shared" si="83"/>
        <v>0</v>
      </c>
      <c r="CQ73" s="1">
        <f t="shared" si="84"/>
        <v>0</v>
      </c>
      <c r="CR73" s="1">
        <f t="shared" si="85"/>
        <v>0</v>
      </c>
      <c r="CS73" s="1">
        <f t="shared" si="86"/>
        <v>2.3429160629899037E-4</v>
      </c>
      <c r="CT73" s="1">
        <f t="shared" si="87"/>
        <v>1.2457723971674259E-5</v>
      </c>
    </row>
    <row r="74" spans="1:98" x14ac:dyDescent="0.25">
      <c r="A74" s="14"/>
      <c r="B74" s="11"/>
      <c r="C74" t="s">
        <v>29</v>
      </c>
      <c r="D74">
        <v>0</v>
      </c>
      <c r="E74">
        <v>9.0589000000000002E-4</v>
      </c>
      <c r="F74">
        <v>2.5099799999999999E-2</v>
      </c>
      <c r="G74">
        <v>2.8844E-4</v>
      </c>
      <c r="H74">
        <v>1.1237599999999999E-3</v>
      </c>
      <c r="I74">
        <v>1.7174000000000001E-4</v>
      </c>
      <c r="J74">
        <v>1.0815E-4</v>
      </c>
      <c r="K74">
        <v>1.21783E-3</v>
      </c>
      <c r="L74">
        <v>1.5671302499999999</v>
      </c>
      <c r="M74">
        <v>0.22212802000000001</v>
      </c>
      <c r="N74">
        <v>0.85900728000000004</v>
      </c>
      <c r="O74">
        <v>5.9552090000000002E-2</v>
      </c>
      <c r="P74">
        <v>0.65308073</v>
      </c>
      <c r="Q74">
        <v>0.29873491000000002</v>
      </c>
      <c r="R74">
        <v>3.323E-4</v>
      </c>
      <c r="S74">
        <v>0.1201039</v>
      </c>
      <c r="T74">
        <v>8.5144890000000001E-2</v>
      </c>
      <c r="U74">
        <v>0.13578821999999999</v>
      </c>
      <c r="V74">
        <v>3.391922E-2</v>
      </c>
      <c r="W74">
        <v>5.1055099999999997E-3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0.28254302999999997</v>
      </c>
      <c r="AD74">
        <v>8.2835720000000002E-2</v>
      </c>
      <c r="AE74">
        <v>3.5678000000000001E-4</v>
      </c>
      <c r="AF74">
        <v>5.2924000000000005E-4</v>
      </c>
      <c r="AG74">
        <v>1.2685605499999999</v>
      </c>
      <c r="AH74">
        <v>3.4239499999999998E-3</v>
      </c>
      <c r="AI74">
        <v>4.6152079999999998E-2</v>
      </c>
      <c r="AJ74">
        <v>0</v>
      </c>
      <c r="AK74">
        <v>0.14820700000000001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0.28189933</v>
      </c>
      <c r="AS74">
        <v>3.6539999999999999E-5</v>
      </c>
      <c r="AT74" s="4">
        <v>0</v>
      </c>
      <c r="AU74">
        <v>59.831784149999997</v>
      </c>
      <c r="AV74">
        <v>62.536456360000003</v>
      </c>
      <c r="AW74">
        <v>0</v>
      </c>
      <c r="AX74">
        <v>2.70467221</v>
      </c>
      <c r="AY74" s="4">
        <v>0</v>
      </c>
      <c r="BB74" s="18"/>
      <c r="BC74" s="1">
        <f t="shared" si="88"/>
        <v>68.719943510000007</v>
      </c>
      <c r="BD74" t="s">
        <v>29</v>
      </c>
      <c r="BE74" s="1">
        <f t="shared" si="46"/>
        <v>0</v>
      </c>
      <c r="BF74" s="1">
        <f t="shared" si="47"/>
        <v>1.318234494573146E-5</v>
      </c>
      <c r="BG74" s="1">
        <f t="shared" si="48"/>
        <v>3.6524768092027781E-4</v>
      </c>
      <c r="BH74" s="1">
        <f t="shared" si="49"/>
        <v>4.1973259183198649E-6</v>
      </c>
      <c r="BI74" s="1">
        <f t="shared" si="50"/>
        <v>1.6352749181705488E-5</v>
      </c>
      <c r="BJ74" s="1">
        <f t="shared" si="51"/>
        <v>2.4991289460971209E-6</v>
      </c>
      <c r="BK74" s="1">
        <f t="shared" si="52"/>
        <v>1.5737789421241622E-6</v>
      </c>
      <c r="BL74" s="1">
        <f t="shared" si="53"/>
        <v>1.7721638549117603E-5</v>
      </c>
      <c r="BM74" s="1">
        <f t="shared" si="54"/>
        <v>2.2804591650631287E-2</v>
      </c>
      <c r="BN74" s="1">
        <f t="shared" si="55"/>
        <v>3.2323661611810888E-3</v>
      </c>
      <c r="BO74" s="1">
        <f t="shared" si="56"/>
        <v>1.2500116212624634E-2</v>
      </c>
      <c r="BP74" s="1">
        <f t="shared" si="57"/>
        <v>8.6659107907057701E-4</v>
      </c>
      <c r="BQ74" s="1">
        <f t="shared" si="58"/>
        <v>9.5035108680635756E-3</v>
      </c>
      <c r="BR74" s="1">
        <f t="shared" si="59"/>
        <v>4.3471355583481908E-3</v>
      </c>
      <c r="BS74" s="1">
        <f t="shared" si="60"/>
        <v>4.8355685850010086E-6</v>
      </c>
      <c r="BT74" s="1">
        <f t="shared" si="61"/>
        <v>1.7477299000183649E-3</v>
      </c>
      <c r="BU74" s="1">
        <f t="shared" si="62"/>
        <v>1.2390128054690537E-3</v>
      </c>
      <c r="BV74" s="1">
        <f t="shared" si="63"/>
        <v>1.9759652447944799E-3</v>
      </c>
      <c r="BW74" s="1">
        <f t="shared" si="64"/>
        <v>4.9358626138952132E-4</v>
      </c>
      <c r="BX74" s="1">
        <f t="shared" si="65"/>
        <v>7.4294444075860669E-5</v>
      </c>
      <c r="BY74" s="1">
        <f t="shared" si="66"/>
        <v>0</v>
      </c>
      <c r="BZ74" s="1">
        <f t="shared" si="67"/>
        <v>0</v>
      </c>
      <c r="CA74" s="1">
        <f t="shared" si="68"/>
        <v>0</v>
      </c>
      <c r="CB74" s="1">
        <f t="shared" si="69"/>
        <v>0</v>
      </c>
      <c r="CC74" s="1">
        <f t="shared" si="70"/>
        <v>0</v>
      </c>
      <c r="CD74" s="1">
        <f t="shared" si="71"/>
        <v>4.1115142936472993E-3</v>
      </c>
      <c r="CE74" s="1">
        <f t="shared" si="72"/>
        <v>1.2054101876254582E-3</v>
      </c>
      <c r="CF74" s="1">
        <f t="shared" si="73"/>
        <v>5.1917970501253686E-6</v>
      </c>
      <c r="CG74" s="1">
        <f t="shared" si="74"/>
        <v>7.7014033040202659E-6</v>
      </c>
      <c r="CH74" s="1">
        <f t="shared" si="75"/>
        <v>1.8459860197868196E-2</v>
      </c>
      <c r="CI74" s="1">
        <f t="shared" si="76"/>
        <v>4.9824691714156496E-5</v>
      </c>
      <c r="CJ74" s="1">
        <f t="shared" si="77"/>
        <v>6.7159659398270644E-4</v>
      </c>
      <c r="CK74" s="1">
        <f t="shared" si="78"/>
        <v>0</v>
      </c>
      <c r="CL74" s="1">
        <f t="shared" si="79"/>
        <v>2.1566810510901132E-3</v>
      </c>
      <c r="CM74" s="1">
        <f t="shared" si="80"/>
        <v>0</v>
      </c>
      <c r="CN74" s="1">
        <f t="shared" si="81"/>
        <v>0</v>
      </c>
      <c r="CO74" s="1">
        <f t="shared" si="82"/>
        <v>0</v>
      </c>
      <c r="CP74" s="1">
        <f t="shared" si="83"/>
        <v>0</v>
      </c>
      <c r="CQ74" s="1">
        <f t="shared" si="84"/>
        <v>0</v>
      </c>
      <c r="CR74" s="1">
        <f t="shared" si="85"/>
        <v>0</v>
      </c>
      <c r="CS74" s="1">
        <f t="shared" si="86"/>
        <v>4.1021472894397608E-3</v>
      </c>
      <c r="CT74" s="1">
        <f t="shared" si="87"/>
        <v>5.3172337073709558E-7</v>
      </c>
    </row>
    <row r="75" spans="1:98" x14ac:dyDescent="0.25">
      <c r="A75" s="14"/>
      <c r="B75" s="11"/>
      <c r="C75" t="s">
        <v>30</v>
      </c>
      <c r="D75">
        <v>0</v>
      </c>
      <c r="E75">
        <v>7.1044100000000002E-3</v>
      </c>
      <c r="F75">
        <v>6.7000000000000004E-7</v>
      </c>
      <c r="G75">
        <v>2.0065300000000001E-2</v>
      </c>
      <c r="H75">
        <v>6.1558699999999999E-3</v>
      </c>
      <c r="I75">
        <v>1.0558E-4</v>
      </c>
      <c r="J75">
        <v>9.9310999999999996E-4</v>
      </c>
      <c r="K75">
        <v>0.27841265999999998</v>
      </c>
      <c r="L75">
        <v>3.543429E-2</v>
      </c>
      <c r="M75">
        <v>8.9472479999999993E-2</v>
      </c>
      <c r="N75">
        <v>1.3883999999999999E-4</v>
      </c>
      <c r="O75">
        <v>6.9048910000000005E-2</v>
      </c>
      <c r="P75">
        <v>6.0080969999999997E-2</v>
      </c>
      <c r="Q75">
        <v>4.4369999999999997E-5</v>
      </c>
      <c r="R75">
        <v>4.1854500000000003E-3</v>
      </c>
      <c r="S75">
        <v>0.25197831999999998</v>
      </c>
      <c r="T75">
        <v>213.26962710000001</v>
      </c>
      <c r="U75">
        <v>1.0311220699999999</v>
      </c>
      <c r="V75">
        <v>4.5561860000000003E-2</v>
      </c>
      <c r="W75">
        <v>0.61238766</v>
      </c>
      <c r="X75">
        <v>0</v>
      </c>
      <c r="Y75">
        <v>0</v>
      </c>
      <c r="Z75">
        <v>0</v>
      </c>
      <c r="AA75">
        <v>0</v>
      </c>
      <c r="AB75">
        <v>0</v>
      </c>
      <c r="AC75">
        <v>43.702395920000001</v>
      </c>
      <c r="AD75">
        <v>11.24259531</v>
      </c>
      <c r="AE75">
        <v>8.2375199999999999E-3</v>
      </c>
      <c r="AF75">
        <v>0</v>
      </c>
      <c r="AG75">
        <v>0</v>
      </c>
      <c r="AH75">
        <v>55.454445100000001</v>
      </c>
      <c r="AI75">
        <v>0.47524411999999999</v>
      </c>
      <c r="AJ75">
        <v>0</v>
      </c>
      <c r="AK75">
        <v>42.590518969999998</v>
      </c>
      <c r="AL75">
        <v>0</v>
      </c>
      <c r="AM75">
        <v>2.7700000000000002E-6</v>
      </c>
      <c r="AN75">
        <v>0</v>
      </c>
      <c r="AO75">
        <v>0</v>
      </c>
      <c r="AP75">
        <v>0</v>
      </c>
      <c r="AQ75">
        <v>0</v>
      </c>
      <c r="AR75">
        <v>1.3808417500000001</v>
      </c>
      <c r="AS75">
        <v>2.4628343199999998</v>
      </c>
      <c r="AT75" s="4">
        <v>242.32983579</v>
      </c>
      <c r="AU75">
        <v>0</v>
      </c>
      <c r="AV75">
        <v>250.2603215</v>
      </c>
      <c r="AW75">
        <v>7.9304857200000001</v>
      </c>
      <c r="AX75">
        <v>0</v>
      </c>
      <c r="AY75" s="4">
        <v>0</v>
      </c>
      <c r="BB75" s="18"/>
      <c r="BC75" s="1">
        <f t="shared" si="88"/>
        <v>623.35935720000009</v>
      </c>
      <c r="BD75" t="s">
        <v>30</v>
      </c>
      <c r="BE75" s="1">
        <f t="shared" si="46"/>
        <v>0</v>
      </c>
      <c r="BF75" s="1">
        <f t="shared" si="47"/>
        <v>1.1396973379707532E-5</v>
      </c>
      <c r="BG75" s="1">
        <f t="shared" si="48"/>
        <v>1.0748214368827316E-9</v>
      </c>
      <c r="BH75" s="1">
        <f t="shared" si="49"/>
        <v>3.2188976981318021E-5</v>
      </c>
      <c r="BI75" s="1">
        <f t="shared" si="50"/>
        <v>9.8753149830795524E-6</v>
      </c>
      <c r="BJ75" s="1">
        <f t="shared" si="51"/>
        <v>1.6937260791952059E-7</v>
      </c>
      <c r="BK75" s="1">
        <f t="shared" si="52"/>
        <v>1.5931580853471784E-6</v>
      </c>
      <c r="BL75" s="1">
        <f t="shared" si="53"/>
        <v>4.4663267950379609E-4</v>
      </c>
      <c r="BM75" s="1">
        <f t="shared" si="54"/>
        <v>5.6844081332417025E-5</v>
      </c>
      <c r="BN75" s="1">
        <f t="shared" si="55"/>
        <v>1.4353274554486785E-4</v>
      </c>
      <c r="BO75" s="1">
        <f t="shared" si="56"/>
        <v>2.2272866909969917E-7</v>
      </c>
      <c r="BP75" s="1">
        <f t="shared" si="57"/>
        <v>1.1076902785281555E-4</v>
      </c>
      <c r="BQ75" s="1">
        <f t="shared" si="58"/>
        <v>9.6382558962251173E-5</v>
      </c>
      <c r="BR75" s="1">
        <f t="shared" si="59"/>
        <v>7.1178846499234022E-8</v>
      </c>
      <c r="BS75" s="1">
        <f t="shared" si="60"/>
        <v>6.714345347762431E-6</v>
      </c>
      <c r="BT75" s="1">
        <f t="shared" si="61"/>
        <v>4.0422641785924882E-4</v>
      </c>
      <c r="BU75" s="1">
        <f t="shared" si="62"/>
        <v>0.34212950304935275</v>
      </c>
      <c r="BV75" s="1">
        <f t="shared" si="63"/>
        <v>1.654137469968502E-3</v>
      </c>
      <c r="BW75" s="1">
        <f t="shared" si="64"/>
        <v>7.3090841540671424E-5</v>
      </c>
      <c r="BX75" s="1">
        <f t="shared" si="65"/>
        <v>9.8239908156784136E-4</v>
      </c>
      <c r="BY75" s="1">
        <f t="shared" si="66"/>
        <v>0</v>
      </c>
      <c r="BZ75" s="1">
        <f t="shared" si="67"/>
        <v>0</v>
      </c>
      <c r="CA75" s="1">
        <f t="shared" si="68"/>
        <v>0</v>
      </c>
      <c r="CB75" s="1">
        <f t="shared" si="69"/>
        <v>0</v>
      </c>
      <c r="CC75" s="1">
        <f t="shared" si="70"/>
        <v>0</v>
      </c>
      <c r="CD75" s="1">
        <f t="shared" si="71"/>
        <v>7.0107868623809591E-2</v>
      </c>
      <c r="CE75" s="1">
        <f t="shared" si="72"/>
        <v>1.8035496187142178E-2</v>
      </c>
      <c r="CF75" s="1">
        <f t="shared" si="73"/>
        <v>1.3214721019030206E-5</v>
      </c>
      <c r="CG75" s="1">
        <f t="shared" si="74"/>
        <v>0</v>
      </c>
      <c r="CH75" s="1">
        <f t="shared" si="75"/>
        <v>0</v>
      </c>
      <c r="CI75" s="1">
        <f t="shared" si="76"/>
        <v>8.896063636405456E-2</v>
      </c>
      <c r="CJ75" s="1">
        <f t="shared" si="77"/>
        <v>7.6239189243055118E-4</v>
      </c>
      <c r="CK75" s="1">
        <f t="shared" si="78"/>
        <v>0</v>
      </c>
      <c r="CL75" s="1">
        <f t="shared" si="79"/>
        <v>6.8324183278980044E-2</v>
      </c>
      <c r="CM75" s="1">
        <f t="shared" si="80"/>
        <v>0</v>
      </c>
      <c r="CN75" s="1">
        <f t="shared" si="81"/>
        <v>4.4436647465151739E-9</v>
      </c>
      <c r="CO75" s="1">
        <f t="shared" si="82"/>
        <v>0</v>
      </c>
      <c r="CP75" s="1">
        <f t="shared" si="83"/>
        <v>0</v>
      </c>
      <c r="CQ75" s="1">
        <f t="shared" si="84"/>
        <v>0</v>
      </c>
      <c r="CR75" s="1">
        <f t="shared" si="85"/>
        <v>0</v>
      </c>
      <c r="CS75" s="1">
        <f t="shared" si="86"/>
        <v>2.2151616624517399E-3</v>
      </c>
      <c r="CT75" s="1">
        <f t="shared" si="87"/>
        <v>3.9509061531738882E-3</v>
      </c>
    </row>
    <row r="76" spans="1:98" x14ac:dyDescent="0.25">
      <c r="A76" s="14"/>
      <c r="B76" s="11"/>
      <c r="C76" t="s">
        <v>31</v>
      </c>
      <c r="D76">
        <v>0</v>
      </c>
      <c r="E76">
        <v>4.0911899999999998E-3</v>
      </c>
      <c r="F76">
        <v>6.2700000000000001E-6</v>
      </c>
      <c r="G76">
        <v>3.0577500000000001E-3</v>
      </c>
      <c r="H76">
        <v>1.0081700000000001E-3</v>
      </c>
      <c r="I76">
        <v>1.14521E-3</v>
      </c>
      <c r="J76">
        <v>9.3179999999999999E-4</v>
      </c>
      <c r="K76">
        <v>0.24401001999999999</v>
      </c>
      <c r="L76">
        <v>0.11697340000000001</v>
      </c>
      <c r="M76">
        <v>4.91107E-3</v>
      </c>
      <c r="N76">
        <v>8.1999999999999998E-7</v>
      </c>
      <c r="O76">
        <v>3.858E-4</v>
      </c>
      <c r="P76">
        <v>1.095583E-2</v>
      </c>
      <c r="Q76">
        <v>1.92242E-3</v>
      </c>
      <c r="R76">
        <v>3.8321499999999999E-3</v>
      </c>
      <c r="S76">
        <v>1.6384800000000001E-3</v>
      </c>
      <c r="T76">
        <v>7.4502292499999996</v>
      </c>
      <c r="U76">
        <v>2.831E-4</v>
      </c>
      <c r="V76">
        <v>4.3921300000000002E-3</v>
      </c>
      <c r="W76">
        <v>7.18258E-3</v>
      </c>
      <c r="X76">
        <v>0</v>
      </c>
      <c r="Y76">
        <v>0</v>
      </c>
      <c r="Z76">
        <v>0</v>
      </c>
      <c r="AA76">
        <v>0</v>
      </c>
      <c r="AB76">
        <v>0</v>
      </c>
      <c r="AC76">
        <v>25.241363459999999</v>
      </c>
      <c r="AD76">
        <v>19.775214089999999</v>
      </c>
      <c r="AE76">
        <v>5.2969799999999997E-3</v>
      </c>
      <c r="AF76">
        <v>1.4291E-4</v>
      </c>
      <c r="AG76">
        <v>0</v>
      </c>
      <c r="AH76">
        <v>1.29412156</v>
      </c>
      <c r="AI76">
        <v>24.48854081</v>
      </c>
      <c r="AJ76">
        <v>0</v>
      </c>
      <c r="AK76">
        <v>4.15936197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0.89966005999999998</v>
      </c>
      <c r="AS76">
        <v>0.21322028000000001</v>
      </c>
      <c r="AT76" s="4">
        <v>0</v>
      </c>
      <c r="AU76">
        <v>0</v>
      </c>
      <c r="AV76">
        <v>42.354318849999999</v>
      </c>
      <c r="AW76">
        <v>42.354318849999999</v>
      </c>
      <c r="AX76">
        <v>0</v>
      </c>
      <c r="AY76" s="4">
        <v>0</v>
      </c>
      <c r="BB76" s="18"/>
      <c r="BC76" s="1">
        <f>SUM(D76:AS76)+AV76</f>
        <v>126.28819841000001</v>
      </c>
      <c r="BD76" t="s">
        <v>31</v>
      </c>
      <c r="BE76" s="1">
        <f t="shared" si="46"/>
        <v>0</v>
      </c>
      <c r="BF76" s="1">
        <f t="shared" si="47"/>
        <v>3.2395663660651625E-5</v>
      </c>
      <c r="BG76" s="1">
        <f t="shared" si="48"/>
        <v>4.96483446508927E-8</v>
      </c>
      <c r="BH76" s="1">
        <f t="shared" si="49"/>
        <v>2.421247621312076E-5</v>
      </c>
      <c r="BI76" s="1">
        <f t="shared" si="50"/>
        <v>7.9830895736348487E-6</v>
      </c>
      <c r="BJ76" s="1">
        <f t="shared" si="51"/>
        <v>9.0682265993060342E-6</v>
      </c>
      <c r="BK76" s="1">
        <f t="shared" si="52"/>
        <v>7.3783616500321881E-6</v>
      </c>
      <c r="BL76" s="1">
        <f t="shared" si="53"/>
        <v>1.9321680336891898E-3</v>
      </c>
      <c r="BM76" s="1">
        <f t="shared" si="54"/>
        <v>9.2624173495801162E-4</v>
      </c>
      <c r="BN76" s="1">
        <f t="shared" si="55"/>
        <v>3.8887798399467242E-5</v>
      </c>
      <c r="BO76" s="1">
        <f t="shared" si="56"/>
        <v>6.493084946368742E-9</v>
      </c>
      <c r="BP76" s="1">
        <f t="shared" si="57"/>
        <v>3.0549172833037328E-6</v>
      </c>
      <c r="BQ76" s="1">
        <f t="shared" si="58"/>
        <v>8.6752603473140314E-5</v>
      </c>
      <c r="BR76" s="1">
        <f t="shared" si="59"/>
        <v>1.5222483369022193E-5</v>
      </c>
      <c r="BS76" s="1">
        <f t="shared" si="60"/>
        <v>3.0344482289301191E-5</v>
      </c>
      <c r="BT76" s="1">
        <f t="shared" si="61"/>
        <v>1.2974133930397876E-5</v>
      </c>
      <c r="BU76" s="1">
        <f t="shared" si="62"/>
        <v>5.8993867548989123E-2</v>
      </c>
      <c r="BV76" s="1">
        <f t="shared" si="63"/>
        <v>2.2416979857524281E-6</v>
      </c>
      <c r="BW76" s="1">
        <f t="shared" si="64"/>
        <v>3.4778625835968957E-5</v>
      </c>
      <c r="BX76" s="1">
        <f t="shared" si="65"/>
        <v>5.6874514724499031E-5</v>
      </c>
      <c r="BY76" s="1">
        <f t="shared" si="66"/>
        <v>0</v>
      </c>
      <c r="BZ76" s="1">
        <f t="shared" si="67"/>
        <v>0</v>
      </c>
      <c r="CA76" s="1">
        <f t="shared" si="68"/>
        <v>0</v>
      </c>
      <c r="CB76" s="1">
        <f t="shared" si="69"/>
        <v>0</v>
      </c>
      <c r="CC76" s="1">
        <f t="shared" si="70"/>
        <v>0</v>
      </c>
      <c r="CD76" s="1">
        <f t="shared" si="71"/>
        <v>0.19987111842432687</v>
      </c>
      <c r="CE76" s="1">
        <f t="shared" si="72"/>
        <v>0.15658798160853421</v>
      </c>
      <c r="CF76" s="1">
        <f t="shared" si="73"/>
        <v>4.1943586706361338E-5</v>
      </c>
      <c r="CG76" s="1">
        <f t="shared" si="74"/>
        <v>1.1316180118116548E-6</v>
      </c>
      <c r="CH76" s="1">
        <f t="shared" si="75"/>
        <v>0</v>
      </c>
      <c r="CI76" s="1">
        <f t="shared" si="76"/>
        <v>1.0247367341472236E-2</v>
      </c>
      <c r="CJ76" s="1">
        <f t="shared" si="77"/>
        <v>0.19390997035603366</v>
      </c>
      <c r="CK76" s="1">
        <f t="shared" si="78"/>
        <v>0</v>
      </c>
      <c r="CL76" s="1">
        <f t="shared" si="79"/>
        <v>3.2935476334031266E-2</v>
      </c>
      <c r="CM76" s="1">
        <f t="shared" si="80"/>
        <v>0</v>
      </c>
      <c r="CN76" s="1">
        <f t="shared" si="81"/>
        <v>0</v>
      </c>
      <c r="CO76" s="1">
        <f t="shared" si="82"/>
        <v>0</v>
      </c>
      <c r="CP76" s="1">
        <f t="shared" si="83"/>
        <v>0</v>
      </c>
      <c r="CQ76" s="1">
        <f t="shared" si="84"/>
        <v>0</v>
      </c>
      <c r="CR76" s="1">
        <f t="shared" si="85"/>
        <v>0</v>
      </c>
      <c r="CS76" s="1">
        <f t="shared" si="86"/>
        <v>7.123864868823414E-3</v>
      </c>
      <c r="CT76" s="1">
        <f t="shared" si="87"/>
        <v>1.6883626711323516E-3</v>
      </c>
    </row>
    <row r="77" spans="1:98" x14ac:dyDescent="0.25">
      <c r="A77" s="14"/>
      <c r="B77" s="11"/>
      <c r="C77" t="s">
        <v>32</v>
      </c>
      <c r="D77">
        <v>0</v>
      </c>
      <c r="E77">
        <v>6.6277470000000005E-2</v>
      </c>
      <c r="F77">
        <v>9.14564E-3</v>
      </c>
      <c r="G77">
        <v>3.7349800000000002E-3</v>
      </c>
      <c r="H77">
        <v>2.30591E-3</v>
      </c>
      <c r="I77">
        <v>1.9900000000000001E-4</v>
      </c>
      <c r="J77">
        <v>3.0731000000000001E-3</v>
      </c>
      <c r="K77">
        <v>5.0034870000000002E-2</v>
      </c>
      <c r="L77">
        <v>4.90009E-2</v>
      </c>
      <c r="M77">
        <v>5.5897059999999998E-2</v>
      </c>
      <c r="N77">
        <v>1.1854669999999999E-2</v>
      </c>
      <c r="O77">
        <v>3.083837E-2</v>
      </c>
      <c r="P77">
        <v>4.9422600000000004E-3</v>
      </c>
      <c r="Q77">
        <v>1.88408E-3</v>
      </c>
      <c r="R77">
        <v>1.74558E-3</v>
      </c>
      <c r="S77">
        <v>0.28401151000000002</v>
      </c>
      <c r="T77">
        <v>0.34316208999999998</v>
      </c>
      <c r="U77">
        <v>1.5871399999999999E-3</v>
      </c>
      <c r="V77">
        <v>4.5010127400000002</v>
      </c>
      <c r="W77">
        <v>4.3169599999999999E-3</v>
      </c>
      <c r="X77">
        <v>0</v>
      </c>
      <c r="Y77">
        <v>0</v>
      </c>
      <c r="Z77">
        <v>0</v>
      </c>
      <c r="AA77">
        <v>0</v>
      </c>
      <c r="AB77">
        <v>0</v>
      </c>
      <c r="AC77">
        <v>1.0019975400000001</v>
      </c>
      <c r="AD77">
        <v>0.69468299</v>
      </c>
      <c r="AE77">
        <v>1.4676710000000001E-2</v>
      </c>
      <c r="AF77">
        <v>5.2570999999999998E-4</v>
      </c>
      <c r="AG77">
        <v>0</v>
      </c>
      <c r="AH77">
        <v>9.3809099999999992E-3</v>
      </c>
      <c r="AI77">
        <v>1.11043084</v>
      </c>
      <c r="AJ77">
        <v>0</v>
      </c>
      <c r="AK77">
        <v>4.1337392800000003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0.12448819</v>
      </c>
      <c r="AS77">
        <v>3.3420999999999999E-4</v>
      </c>
      <c r="AT77" s="4">
        <v>0</v>
      </c>
      <c r="AU77">
        <v>0</v>
      </c>
      <c r="AV77">
        <v>0</v>
      </c>
      <c r="AW77">
        <v>0</v>
      </c>
      <c r="AX77">
        <v>0</v>
      </c>
      <c r="AY77" s="4">
        <v>0</v>
      </c>
      <c r="BB77" s="18"/>
      <c r="BC77" s="1">
        <f t="shared" si="88"/>
        <v>12.515280710000001</v>
      </c>
      <c r="BD77" t="s">
        <v>32</v>
      </c>
      <c r="BE77" s="1">
        <f t="shared" si="46"/>
        <v>0</v>
      </c>
      <c r="BF77" s="1">
        <f t="shared" si="47"/>
        <v>5.2957238064219175E-3</v>
      </c>
      <c r="BG77" s="1">
        <f t="shared" si="48"/>
        <v>7.3075788006036655E-4</v>
      </c>
      <c r="BH77" s="1">
        <f t="shared" si="49"/>
        <v>2.9843357784341696E-4</v>
      </c>
      <c r="BI77" s="1">
        <f t="shared" si="50"/>
        <v>1.8424756531090224E-4</v>
      </c>
      <c r="BJ77" s="1">
        <f t="shared" si="51"/>
        <v>1.590056224955421E-5</v>
      </c>
      <c r="BK77" s="1">
        <f t="shared" si="52"/>
        <v>2.4554782838746251E-4</v>
      </c>
      <c r="BL77" s="1">
        <f t="shared" si="53"/>
        <v>3.9979023371022734E-3</v>
      </c>
      <c r="BM77" s="1">
        <f t="shared" si="54"/>
        <v>3.9152857323325671E-3</v>
      </c>
      <c r="BN77" s="1">
        <f t="shared" si="55"/>
        <v>4.4663049351611386E-3</v>
      </c>
      <c r="BO77" s="1">
        <f t="shared" si="56"/>
        <v>9.4721566976343108E-4</v>
      </c>
      <c r="BP77" s="1">
        <f t="shared" si="57"/>
        <v>2.4640573962803267E-3</v>
      </c>
      <c r="BQ77" s="1">
        <f t="shared" si="58"/>
        <v>3.9489805418835066E-4</v>
      </c>
      <c r="BR77" s="1">
        <f t="shared" si="59"/>
        <v>1.5054236845799042E-4</v>
      </c>
      <c r="BS77" s="1">
        <f t="shared" si="60"/>
        <v>1.3947589674159213E-4</v>
      </c>
      <c r="BT77" s="1">
        <f t="shared" si="61"/>
        <v>2.2693179368567275E-2</v>
      </c>
      <c r="BU77" s="1">
        <f t="shared" si="62"/>
        <v>2.741944810920665E-2</v>
      </c>
      <c r="BV77" s="1">
        <f t="shared" si="63"/>
        <v>1.2681617270732395E-4</v>
      </c>
      <c r="BW77" s="1">
        <f t="shared" si="64"/>
        <v>0.35964137315782185</v>
      </c>
      <c r="BX77" s="1">
        <f t="shared" si="65"/>
        <v>3.4493513170269111E-4</v>
      </c>
      <c r="BY77" s="1">
        <f t="shared" si="66"/>
        <v>0</v>
      </c>
      <c r="BZ77" s="1">
        <f t="shared" si="67"/>
        <v>0</v>
      </c>
      <c r="CA77" s="1">
        <f t="shared" si="68"/>
        <v>0</v>
      </c>
      <c r="CB77" s="1">
        <f t="shared" si="69"/>
        <v>0</v>
      </c>
      <c r="CC77" s="1">
        <f t="shared" si="70"/>
        <v>0</v>
      </c>
      <c r="CD77" s="1">
        <f t="shared" si="71"/>
        <v>8.0061930948091373E-2</v>
      </c>
      <c r="CE77" s="1">
        <f t="shared" si="72"/>
        <v>5.5506784553776098E-2</v>
      </c>
      <c r="CF77" s="1">
        <f t="shared" si="73"/>
        <v>1.1727032209731395E-3</v>
      </c>
      <c r="CG77" s="1">
        <f t="shared" si="74"/>
        <v>4.2005450151824834E-5</v>
      </c>
      <c r="CH77" s="1">
        <f t="shared" si="75"/>
        <v>0</v>
      </c>
      <c r="CI77" s="1">
        <f t="shared" si="76"/>
        <v>7.4955649956012847E-4</v>
      </c>
      <c r="CJ77" s="1">
        <f t="shared" si="77"/>
        <v>8.8726003493692307E-2</v>
      </c>
      <c r="CK77" s="1">
        <f t="shared" si="78"/>
        <v>0</v>
      </c>
      <c r="CL77" s="1">
        <f t="shared" si="79"/>
        <v>0.33029537057822811</v>
      </c>
      <c r="CM77" s="1">
        <f t="shared" si="80"/>
        <v>0</v>
      </c>
      <c r="CN77" s="1">
        <f t="shared" si="81"/>
        <v>0</v>
      </c>
      <c r="CO77" s="1">
        <f t="shared" si="82"/>
        <v>0</v>
      </c>
      <c r="CP77" s="1">
        <f t="shared" si="83"/>
        <v>0</v>
      </c>
      <c r="CQ77" s="1">
        <f t="shared" si="84"/>
        <v>0</v>
      </c>
      <c r="CR77" s="1">
        <f t="shared" si="85"/>
        <v>0</v>
      </c>
      <c r="CS77" s="1">
        <f t="shared" si="86"/>
        <v>9.9468955498961398E-3</v>
      </c>
      <c r="CT77" s="1">
        <f t="shared" si="87"/>
        <v>2.6704155323736241E-5</v>
      </c>
    </row>
    <row r="78" spans="1:98" x14ac:dyDescent="0.25">
      <c r="A78" s="14"/>
      <c r="B78" s="11"/>
      <c r="C78" t="s">
        <v>33</v>
      </c>
      <c r="D78">
        <v>0</v>
      </c>
      <c r="E78">
        <v>1.115649E-2</v>
      </c>
      <c r="F78">
        <v>1.579E-5</v>
      </c>
      <c r="G78">
        <v>0.80174802000000001</v>
      </c>
      <c r="H78">
        <v>6.4533119999999999E-2</v>
      </c>
      <c r="I78">
        <v>1.2578000000000001E-3</v>
      </c>
      <c r="J78">
        <v>1.9979899999999998E-3</v>
      </c>
      <c r="K78">
        <v>1.6041399300000001</v>
      </c>
      <c r="L78">
        <v>0.66362776000000001</v>
      </c>
      <c r="M78">
        <v>0.29452256999999998</v>
      </c>
      <c r="N78">
        <v>2.3415E-4</v>
      </c>
      <c r="O78">
        <v>0.31467141999999998</v>
      </c>
      <c r="P78">
        <v>3.5026719999999997E-2</v>
      </c>
      <c r="Q78">
        <v>4.5880909999999997E-2</v>
      </c>
      <c r="R78">
        <v>0.32190458999999999</v>
      </c>
      <c r="S78">
        <v>2.2963359999999999E-2</v>
      </c>
      <c r="T78">
        <v>258.26308714999999</v>
      </c>
      <c r="U78">
        <v>0.16750602000000001</v>
      </c>
      <c r="V78">
        <v>0.95049905000000001</v>
      </c>
      <c r="W78">
        <v>0.75179132000000004</v>
      </c>
      <c r="X78">
        <v>0</v>
      </c>
      <c r="Y78">
        <v>0</v>
      </c>
      <c r="Z78">
        <v>0</v>
      </c>
      <c r="AA78">
        <v>0</v>
      </c>
      <c r="AB78">
        <v>0</v>
      </c>
      <c r="AC78">
        <v>87.943383440000005</v>
      </c>
      <c r="AD78">
        <v>43.076414010000001</v>
      </c>
      <c r="AE78">
        <v>7.8409039999999999E-2</v>
      </c>
      <c r="AF78">
        <v>1.4500000000000001E-6</v>
      </c>
      <c r="AG78">
        <v>0</v>
      </c>
      <c r="AH78">
        <v>1.84659259</v>
      </c>
      <c r="AI78">
        <v>8.9111364200000001</v>
      </c>
      <c r="AJ78">
        <v>0</v>
      </c>
      <c r="AK78">
        <v>82.038912420000003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3.0997643300000002</v>
      </c>
      <c r="AS78">
        <v>0.36771662999999999</v>
      </c>
      <c r="AT78" s="4">
        <v>0</v>
      </c>
      <c r="AU78">
        <v>0</v>
      </c>
      <c r="AV78">
        <v>10.974567670000001</v>
      </c>
      <c r="AW78">
        <v>10.974567670000001</v>
      </c>
      <c r="AX78">
        <v>0</v>
      </c>
      <c r="AY78" s="4">
        <v>0</v>
      </c>
      <c r="BB78" s="18"/>
      <c r="BC78" s="1">
        <f t="shared" si="88"/>
        <v>502.65346216000012</v>
      </c>
      <c r="BD78" t="s">
        <v>33</v>
      </c>
      <c r="BE78" s="1">
        <f t="shared" si="46"/>
        <v>0</v>
      </c>
      <c r="BF78" s="1">
        <f t="shared" si="47"/>
        <v>2.2195191796866139E-5</v>
      </c>
      <c r="BG78" s="1">
        <f t="shared" si="48"/>
        <v>3.1413292036520122E-8</v>
      </c>
      <c r="BH78" s="1">
        <f t="shared" si="49"/>
        <v>1.5950313294465976E-3</v>
      </c>
      <c r="BI78" s="1">
        <f t="shared" si="50"/>
        <v>1.2838491099352738E-4</v>
      </c>
      <c r="BJ78" s="1">
        <f t="shared" si="51"/>
        <v>2.5023203751447127E-6</v>
      </c>
      <c r="BK78" s="1">
        <f t="shared" si="52"/>
        <v>3.9748855830301982E-6</v>
      </c>
      <c r="BL78" s="1">
        <f t="shared" si="53"/>
        <v>3.1913436408190594E-3</v>
      </c>
      <c r="BM78" s="1">
        <f t="shared" si="54"/>
        <v>1.320249058164768E-3</v>
      </c>
      <c r="BN78" s="1">
        <f t="shared" si="55"/>
        <v>5.8593562398710829E-4</v>
      </c>
      <c r="BO78" s="1">
        <f t="shared" si="56"/>
        <v>4.6582788665935315E-7</v>
      </c>
      <c r="BP78" s="1">
        <f t="shared" si="57"/>
        <v>6.2602059607387442E-4</v>
      </c>
      <c r="BQ78" s="1">
        <f t="shared" si="58"/>
        <v>6.9683634226815709E-5</v>
      </c>
      <c r="BR78" s="1">
        <f t="shared" si="59"/>
        <v>9.1277417652393681E-5</v>
      </c>
      <c r="BS78" s="1">
        <f t="shared" si="60"/>
        <v>6.4041056957354491E-4</v>
      </c>
      <c r="BT78" s="1">
        <f t="shared" si="61"/>
        <v>4.5684276999350518E-5</v>
      </c>
      <c r="BU78" s="1">
        <f t="shared" si="62"/>
        <v>0.51379947934744752</v>
      </c>
      <c r="BV78" s="1">
        <f t="shared" si="63"/>
        <v>3.3324354174383663E-4</v>
      </c>
      <c r="BW78" s="1">
        <f t="shared" si="64"/>
        <v>1.890962902981947E-3</v>
      </c>
      <c r="BX78" s="1">
        <f t="shared" si="65"/>
        <v>1.4956453632476853E-3</v>
      </c>
      <c r="BY78" s="1">
        <f t="shared" si="66"/>
        <v>0</v>
      </c>
      <c r="BZ78" s="1">
        <f t="shared" si="67"/>
        <v>0</v>
      </c>
      <c r="CA78" s="1">
        <f t="shared" si="68"/>
        <v>0</v>
      </c>
      <c r="CB78" s="1">
        <f t="shared" si="69"/>
        <v>0</v>
      </c>
      <c r="CC78" s="1">
        <f t="shared" si="70"/>
        <v>0</v>
      </c>
      <c r="CD78" s="1">
        <f t="shared" si="71"/>
        <v>0.1749582765472063</v>
      </c>
      <c r="CE78" s="1">
        <f t="shared" si="72"/>
        <v>8.5698035033703407E-2</v>
      </c>
      <c r="CF78" s="1">
        <f t="shared" si="73"/>
        <v>1.5599025154041721E-4</v>
      </c>
      <c r="CG78" s="1">
        <f t="shared" si="74"/>
        <v>2.884691162315021E-9</v>
      </c>
      <c r="CH78" s="1">
        <f t="shared" si="75"/>
        <v>0</v>
      </c>
      <c r="CI78" s="1">
        <f t="shared" si="76"/>
        <v>3.6736891894961409E-3</v>
      </c>
      <c r="CJ78" s="1">
        <f t="shared" si="77"/>
        <v>1.7728190673763803E-2</v>
      </c>
      <c r="CK78" s="1">
        <f t="shared" si="78"/>
        <v>0</v>
      </c>
      <c r="CL78" s="1">
        <f t="shared" si="79"/>
        <v>0.16321167284407587</v>
      </c>
      <c r="CM78" s="1">
        <f t="shared" si="80"/>
        <v>0</v>
      </c>
      <c r="CN78" s="1">
        <f t="shared" si="81"/>
        <v>0</v>
      </c>
      <c r="CO78" s="1">
        <f t="shared" si="82"/>
        <v>0</v>
      </c>
      <c r="CP78" s="1">
        <f t="shared" si="83"/>
        <v>0</v>
      </c>
      <c r="CQ78" s="1">
        <f t="shared" si="84"/>
        <v>0</v>
      </c>
      <c r="CR78" s="1">
        <f t="shared" si="85"/>
        <v>0</v>
      </c>
      <c r="CS78" s="1">
        <f t="shared" si="86"/>
        <v>6.1668019089726493E-3</v>
      </c>
      <c r="CT78" s="1">
        <f t="shared" si="87"/>
        <v>7.3155097434293953E-4</v>
      </c>
    </row>
    <row r="79" spans="1:98" x14ac:dyDescent="0.25">
      <c r="A79" s="14"/>
      <c r="B79" s="11"/>
      <c r="C79" t="s">
        <v>34</v>
      </c>
      <c r="D79">
        <v>2.5473E-4</v>
      </c>
      <c r="E79">
        <v>0.31532428000000001</v>
      </c>
      <c r="F79">
        <v>7.3906999999999998E-4</v>
      </c>
      <c r="G79">
        <v>8.829E-3</v>
      </c>
      <c r="H79">
        <v>3.2224699999999998E-3</v>
      </c>
      <c r="I79">
        <v>2.2293000000000001E-4</v>
      </c>
      <c r="J79">
        <v>1.0564E-4</v>
      </c>
      <c r="K79">
        <v>1.401372E-2</v>
      </c>
      <c r="L79">
        <v>0.14555193999999999</v>
      </c>
      <c r="M79">
        <v>4.4431579000000001</v>
      </c>
      <c r="N79">
        <v>3.5387999999999999E-3</v>
      </c>
      <c r="O79">
        <v>0.33463975000000001</v>
      </c>
      <c r="P79">
        <v>0.13931690999999999</v>
      </c>
      <c r="Q79">
        <v>1.05708E-3</v>
      </c>
      <c r="R79">
        <v>8.9181399999999997E-3</v>
      </c>
      <c r="S79">
        <v>1.7227070000000001E-2</v>
      </c>
      <c r="T79">
        <v>2.5157028800000001</v>
      </c>
      <c r="U79">
        <v>0.73928846999999998</v>
      </c>
      <c r="V79">
        <v>5.4505500000000002E-3</v>
      </c>
      <c r="W79">
        <v>8.0959799999999991E-3</v>
      </c>
      <c r="X79">
        <v>0</v>
      </c>
      <c r="Y79">
        <v>0</v>
      </c>
      <c r="Z79">
        <v>0</v>
      </c>
      <c r="AA79">
        <v>0</v>
      </c>
      <c r="AB79">
        <v>0</v>
      </c>
      <c r="AC79">
        <v>1.2718288900000001</v>
      </c>
      <c r="AD79">
        <v>0.43282300000000001</v>
      </c>
      <c r="AE79">
        <v>8.3310799999999994E-3</v>
      </c>
      <c r="AF79">
        <v>1.9459600000000001E-3</v>
      </c>
      <c r="AG79">
        <v>0</v>
      </c>
      <c r="AH79">
        <v>4.4838410000000002E-2</v>
      </c>
      <c r="AI79">
        <v>4.3755540000000002E-2</v>
      </c>
      <c r="AJ79">
        <v>0</v>
      </c>
      <c r="AK79">
        <v>1.5141492599999999</v>
      </c>
      <c r="AL79">
        <v>0</v>
      </c>
      <c r="AM79">
        <v>4.9459999999999997E-5</v>
      </c>
      <c r="AN79">
        <v>0</v>
      </c>
      <c r="AO79">
        <v>0</v>
      </c>
      <c r="AP79">
        <v>0</v>
      </c>
      <c r="AQ79">
        <v>0</v>
      </c>
      <c r="AR79">
        <v>0.12521826999999999</v>
      </c>
      <c r="AS79">
        <v>4.1211020000000001E-2</v>
      </c>
      <c r="AT79" s="4">
        <v>312.58898531</v>
      </c>
      <c r="AU79">
        <v>0</v>
      </c>
      <c r="AV79">
        <v>312.58898531</v>
      </c>
      <c r="AW79">
        <v>0</v>
      </c>
      <c r="AX79">
        <v>0</v>
      </c>
      <c r="AY79" s="4">
        <v>0</v>
      </c>
      <c r="BB79" s="18"/>
      <c r="BC79" s="1">
        <f t="shared" si="88"/>
        <v>324.77779350999998</v>
      </c>
      <c r="BD79" t="s">
        <v>34</v>
      </c>
      <c r="BE79" s="1">
        <f t="shared" si="46"/>
        <v>7.8432086518919215E-7</v>
      </c>
      <c r="BF79" s="1">
        <f t="shared" si="47"/>
        <v>9.7089236487559025E-4</v>
      </c>
      <c r="BG79" s="1">
        <f t="shared" si="48"/>
        <v>2.275617406019614E-6</v>
      </c>
      <c r="BH79" s="1">
        <f t="shared" si="49"/>
        <v>2.718474038690134E-5</v>
      </c>
      <c r="BI79" s="1">
        <f t="shared" si="50"/>
        <v>9.9220761529706592E-6</v>
      </c>
      <c r="BJ79" s="1">
        <f t="shared" si="51"/>
        <v>6.8640776695570453E-7</v>
      </c>
      <c r="BK79" s="1">
        <f t="shared" si="52"/>
        <v>3.2526854394294456E-7</v>
      </c>
      <c r="BL79" s="1">
        <f t="shared" si="53"/>
        <v>4.3148639716244991E-5</v>
      </c>
      <c r="BM79" s="1">
        <f t="shared" si="54"/>
        <v>4.4815853456901578E-4</v>
      </c>
      <c r="BN79" s="1">
        <f t="shared" si="55"/>
        <v>1.3680608677031345E-2</v>
      </c>
      <c r="BO79" s="1">
        <f t="shared" si="56"/>
        <v>1.0896065158134155E-5</v>
      </c>
      <c r="BP79" s="1">
        <f t="shared" si="57"/>
        <v>1.0303652425968477E-3</v>
      </c>
      <c r="BQ79" s="1">
        <f t="shared" si="58"/>
        <v>4.2896070108226287E-4</v>
      </c>
      <c r="BR79" s="1">
        <f t="shared" si="59"/>
        <v>3.2547791786369538E-6</v>
      </c>
      <c r="BS79" s="1">
        <f t="shared" si="60"/>
        <v>2.7459204964779736E-5</v>
      </c>
      <c r="BT79" s="1">
        <f t="shared" si="61"/>
        <v>5.3042635131609067E-5</v>
      </c>
      <c r="BU79" s="1">
        <f t="shared" si="62"/>
        <v>7.7459202269090513E-3</v>
      </c>
      <c r="BV79" s="1">
        <f t="shared" si="63"/>
        <v>2.2762900813205911E-3</v>
      </c>
      <c r="BW79" s="1">
        <f t="shared" si="64"/>
        <v>1.6782397408067178E-5</v>
      </c>
      <c r="BX79" s="1">
        <f t="shared" si="65"/>
        <v>2.4927751101772057E-5</v>
      </c>
      <c r="BY79" s="1">
        <f t="shared" si="66"/>
        <v>0</v>
      </c>
      <c r="BZ79" s="1">
        <f t="shared" si="67"/>
        <v>0</v>
      </c>
      <c r="CA79" s="1">
        <f t="shared" si="68"/>
        <v>0</v>
      </c>
      <c r="CB79" s="1">
        <f t="shared" si="69"/>
        <v>0</v>
      </c>
      <c r="CC79" s="1">
        <f t="shared" si="70"/>
        <v>0</v>
      </c>
      <c r="CD79" s="1">
        <f t="shared" si="71"/>
        <v>3.9159970768162765E-3</v>
      </c>
      <c r="CE79" s="1">
        <f t="shared" si="72"/>
        <v>1.3326742426639255E-3</v>
      </c>
      <c r="CF79" s="1">
        <f t="shared" si="73"/>
        <v>2.565163064248567E-5</v>
      </c>
      <c r="CG79" s="1">
        <f t="shared" si="74"/>
        <v>5.9916658062401783E-6</v>
      </c>
      <c r="CH79" s="1">
        <f t="shared" si="75"/>
        <v>0</v>
      </c>
      <c r="CI79" s="1">
        <f t="shared" si="76"/>
        <v>1.3805873091079861E-4</v>
      </c>
      <c r="CJ79" s="1">
        <f t="shared" si="77"/>
        <v>1.3472454359368864E-4</v>
      </c>
      <c r="CK79" s="1">
        <f t="shared" si="78"/>
        <v>0</v>
      </c>
      <c r="CL79" s="1">
        <f t="shared" si="79"/>
        <v>4.6621083407088881E-3</v>
      </c>
      <c r="CM79" s="1">
        <f t="shared" si="80"/>
        <v>0</v>
      </c>
      <c r="CN79" s="1">
        <f t="shared" si="81"/>
        <v>1.52288737063783E-7</v>
      </c>
      <c r="CO79" s="1">
        <f t="shared" si="82"/>
        <v>0</v>
      </c>
      <c r="CP79" s="1">
        <f t="shared" si="83"/>
        <v>0</v>
      </c>
      <c r="CQ79" s="1">
        <f t="shared" si="84"/>
        <v>0</v>
      </c>
      <c r="CR79" s="1">
        <f t="shared" si="85"/>
        <v>0</v>
      </c>
      <c r="CS79" s="1">
        <f t="shared" si="86"/>
        <v>3.8555059028733899E-4</v>
      </c>
      <c r="CT79" s="1">
        <f t="shared" si="87"/>
        <v>1.2688989464032153E-4</v>
      </c>
    </row>
    <row r="80" spans="1:98" x14ac:dyDescent="0.25">
      <c r="A80" s="14"/>
      <c r="B80" s="11"/>
      <c r="C80" t="s">
        <v>35</v>
      </c>
      <c r="D80">
        <v>0</v>
      </c>
      <c r="E80">
        <v>2.0608580000000001E-2</v>
      </c>
      <c r="F80">
        <v>7.6420000000000004E-5</v>
      </c>
      <c r="G80">
        <v>2.2662899999999998E-3</v>
      </c>
      <c r="H80">
        <v>5.5230719999999997E-2</v>
      </c>
      <c r="I80">
        <v>1.0262100000000001E-3</v>
      </c>
      <c r="J80">
        <v>7.3978409999999994E-2</v>
      </c>
      <c r="K80">
        <v>0.42305279000000001</v>
      </c>
      <c r="L80">
        <v>0.39298851000000001</v>
      </c>
      <c r="M80">
        <v>0.96855157999999997</v>
      </c>
      <c r="N80">
        <v>2.142554E-2</v>
      </c>
      <c r="O80">
        <v>0.38046516000000002</v>
      </c>
      <c r="P80">
        <v>5.5574099999999996E-3</v>
      </c>
      <c r="Q80">
        <v>5.636066E-2</v>
      </c>
      <c r="R80">
        <v>4.2486040000000003E-2</v>
      </c>
      <c r="S80">
        <v>0.13482838</v>
      </c>
      <c r="T80">
        <v>108.62577372</v>
      </c>
      <c r="U80">
        <v>33.276575639999997</v>
      </c>
      <c r="V80">
        <v>2.1322894099999998</v>
      </c>
      <c r="W80">
        <v>0.54747559000000001</v>
      </c>
      <c r="X80">
        <v>0</v>
      </c>
      <c r="Y80">
        <v>0</v>
      </c>
      <c r="Z80">
        <v>0</v>
      </c>
      <c r="AA80">
        <v>0</v>
      </c>
      <c r="AB80">
        <v>0</v>
      </c>
      <c r="AC80">
        <v>35.907619769999997</v>
      </c>
      <c r="AD80">
        <v>17.84964089</v>
      </c>
      <c r="AE80">
        <v>9.11322E-3</v>
      </c>
      <c r="AF80">
        <v>1.41205E-3</v>
      </c>
      <c r="AG80">
        <v>0</v>
      </c>
      <c r="AH80">
        <v>0.46337314000000002</v>
      </c>
      <c r="AI80">
        <v>1.60043727</v>
      </c>
      <c r="AJ80">
        <v>0</v>
      </c>
      <c r="AK80">
        <v>18.870481810000001</v>
      </c>
      <c r="AL80">
        <v>0</v>
      </c>
      <c r="AM80">
        <v>2.5126100000000002E-3</v>
      </c>
      <c r="AN80">
        <v>0</v>
      </c>
      <c r="AO80">
        <v>0</v>
      </c>
      <c r="AP80">
        <v>0</v>
      </c>
      <c r="AQ80">
        <v>0</v>
      </c>
      <c r="AR80">
        <v>0.50431619999999999</v>
      </c>
      <c r="AS80">
        <v>0.11949438</v>
      </c>
      <c r="AT80" s="4">
        <v>0</v>
      </c>
      <c r="AU80">
        <v>0</v>
      </c>
      <c r="AV80">
        <v>0</v>
      </c>
      <c r="AW80">
        <v>0</v>
      </c>
      <c r="AX80">
        <v>0</v>
      </c>
      <c r="AY80" s="4">
        <v>0</v>
      </c>
      <c r="BB80" s="18"/>
      <c r="BC80" s="1">
        <f t="shared" si="88"/>
        <v>222.48941839999995</v>
      </c>
      <c r="BD80" t="s">
        <v>35</v>
      </c>
      <c r="BE80" s="1">
        <f t="shared" si="46"/>
        <v>0</v>
      </c>
      <c r="BF80" s="1">
        <f t="shared" si="47"/>
        <v>9.2627236603895973E-5</v>
      </c>
      <c r="BG80" s="1">
        <f t="shared" si="48"/>
        <v>3.4347700915200028E-7</v>
      </c>
      <c r="BH80" s="1">
        <f t="shared" si="49"/>
        <v>1.0186057459710633E-5</v>
      </c>
      <c r="BI80" s="1">
        <f t="shared" si="50"/>
        <v>2.4823976078136041E-4</v>
      </c>
      <c r="BJ80" s="1">
        <f t="shared" si="51"/>
        <v>4.6123991306186103E-6</v>
      </c>
      <c r="BK80" s="1">
        <f t="shared" si="52"/>
        <v>3.325030490528713E-4</v>
      </c>
      <c r="BL80" s="1">
        <f t="shared" si="53"/>
        <v>1.901451282682665E-3</v>
      </c>
      <c r="BM80" s="1">
        <f t="shared" si="54"/>
        <v>1.7663244968058225E-3</v>
      </c>
      <c r="BN80" s="1">
        <f t="shared" si="55"/>
        <v>4.3532478396734403E-3</v>
      </c>
      <c r="BO80" s="1">
        <f t="shared" si="56"/>
        <v>9.6299141568523269E-5</v>
      </c>
      <c r="BP80" s="1">
        <f t="shared" si="57"/>
        <v>1.7100371008026336E-3</v>
      </c>
      <c r="BQ80" s="1">
        <f t="shared" si="58"/>
        <v>2.4978311507869901E-5</v>
      </c>
      <c r="BR80" s="1">
        <f t="shared" si="59"/>
        <v>2.5331838433175575E-4</v>
      </c>
      <c r="BS80" s="1">
        <f t="shared" si="60"/>
        <v>1.9095757589521396E-4</v>
      </c>
      <c r="BT80" s="1">
        <f t="shared" si="61"/>
        <v>6.0599906714484911E-4</v>
      </c>
      <c r="BU80" s="1">
        <f t="shared" si="62"/>
        <v>0.48822894365568636</v>
      </c>
      <c r="BV80" s="1">
        <f t="shared" si="63"/>
        <v>0.14956475628955127</v>
      </c>
      <c r="BW80" s="1">
        <f t="shared" si="64"/>
        <v>9.5837789740026592E-3</v>
      </c>
      <c r="BX80" s="1">
        <f t="shared" si="65"/>
        <v>2.4606814739194811E-3</v>
      </c>
      <c r="BY80" s="1">
        <f t="shared" si="66"/>
        <v>0</v>
      </c>
      <c r="BZ80" s="1">
        <f t="shared" si="67"/>
        <v>0</v>
      </c>
      <c r="CA80" s="1">
        <f t="shared" si="68"/>
        <v>0</v>
      </c>
      <c r="CB80" s="1">
        <f t="shared" si="69"/>
        <v>0</v>
      </c>
      <c r="CC80" s="1">
        <f t="shared" si="70"/>
        <v>0</v>
      </c>
      <c r="CD80" s="1">
        <f t="shared" si="71"/>
        <v>0.1613902361210002</v>
      </c>
      <c r="CE80" s="1">
        <f t="shared" si="72"/>
        <v>8.0226920535650989E-2</v>
      </c>
      <c r="CF80" s="1">
        <f t="shared" si="73"/>
        <v>4.0960240111805704E-5</v>
      </c>
      <c r="CG80" s="1">
        <f t="shared" si="74"/>
        <v>6.3465939645784084E-6</v>
      </c>
      <c r="CH80" s="1">
        <f t="shared" si="75"/>
        <v>0</v>
      </c>
      <c r="CI80" s="1">
        <f t="shared" si="76"/>
        <v>2.082674957453168E-3</v>
      </c>
      <c r="CJ80" s="1">
        <f t="shared" si="77"/>
        <v>7.1933185924495206E-3</v>
      </c>
      <c r="CK80" s="1">
        <f t="shared" si="78"/>
        <v>0</v>
      </c>
      <c r="CL80" s="1">
        <f t="shared" si="79"/>
        <v>8.4815187821984106E-2</v>
      </c>
      <c r="CM80" s="1">
        <f t="shared" si="80"/>
        <v>0</v>
      </c>
      <c r="CN80" s="1">
        <f t="shared" si="81"/>
        <v>1.1293166291094052E-5</v>
      </c>
      <c r="CO80" s="1">
        <f t="shared" si="82"/>
        <v>0</v>
      </c>
      <c r="CP80" s="1">
        <f t="shared" si="83"/>
        <v>0</v>
      </c>
      <c r="CQ80" s="1">
        <f t="shared" si="84"/>
        <v>0</v>
      </c>
      <c r="CR80" s="1">
        <f t="shared" si="85"/>
        <v>0</v>
      </c>
      <c r="CS80" s="1">
        <f t="shared" si="86"/>
        <v>2.2666974619589375E-3</v>
      </c>
      <c r="CT80" s="1">
        <f t="shared" si="87"/>
        <v>5.3707893552568174E-4</v>
      </c>
    </row>
    <row r="81" spans="1:98" x14ac:dyDescent="0.25">
      <c r="A81" s="14"/>
      <c r="B81" s="11"/>
      <c r="C81" t="s">
        <v>36</v>
      </c>
      <c r="D81">
        <v>0</v>
      </c>
      <c r="E81">
        <v>1.298583E-2</v>
      </c>
      <c r="F81">
        <v>7.0049999999999995E-5</v>
      </c>
      <c r="G81">
        <v>2.513176E-2</v>
      </c>
      <c r="H81">
        <v>1.6826000000000001E-2</v>
      </c>
      <c r="I81">
        <v>2.366E-4</v>
      </c>
      <c r="J81">
        <v>9.4010699999999992E-3</v>
      </c>
      <c r="K81">
        <v>4.9378399999999998E-3</v>
      </c>
      <c r="L81">
        <v>4.1713640000000003E-2</v>
      </c>
      <c r="M81">
        <v>1.5397819100000001</v>
      </c>
      <c r="N81">
        <v>2.89025E-3</v>
      </c>
      <c r="O81">
        <v>0.12124714</v>
      </c>
      <c r="P81">
        <v>6.9232399999999998E-3</v>
      </c>
      <c r="Q81">
        <v>6.9474799999999998E-3</v>
      </c>
      <c r="R81">
        <v>1.523246E-2</v>
      </c>
      <c r="S81">
        <v>1.3053199999999999E-2</v>
      </c>
      <c r="T81">
        <v>1.29037877</v>
      </c>
      <c r="U81">
        <v>1.2246439899999999</v>
      </c>
      <c r="V81">
        <v>0.27282497999999999</v>
      </c>
      <c r="W81">
        <v>2.2879000000000001E-4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0.80784833</v>
      </c>
      <c r="AD81">
        <v>0.49710586000000001</v>
      </c>
      <c r="AE81">
        <v>6.0729659999999998E-2</v>
      </c>
      <c r="AF81">
        <v>6.7984999999999996E-4</v>
      </c>
      <c r="AG81">
        <v>0</v>
      </c>
      <c r="AH81">
        <v>6.1450999999999997E-4</v>
      </c>
      <c r="AI81">
        <v>0.97767872</v>
      </c>
      <c r="AJ81">
        <v>0</v>
      </c>
      <c r="AK81">
        <v>0.3808183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8.2335549999999993E-2</v>
      </c>
      <c r="AS81">
        <v>0</v>
      </c>
      <c r="AT81" s="4">
        <v>0</v>
      </c>
      <c r="AU81">
        <v>0</v>
      </c>
      <c r="AV81">
        <v>41.469064400000001</v>
      </c>
      <c r="AW81">
        <v>41.469064400000001</v>
      </c>
      <c r="AX81">
        <v>0</v>
      </c>
      <c r="AY81" s="4">
        <v>0</v>
      </c>
      <c r="BB81" s="18"/>
      <c r="BC81" s="1">
        <f t="shared" si="88"/>
        <v>48.882330180000004</v>
      </c>
      <c r="BD81" t="s">
        <v>36</v>
      </c>
      <c r="BE81" s="1">
        <f t="shared" si="46"/>
        <v>0</v>
      </c>
      <c r="BF81" s="1">
        <f t="shared" si="47"/>
        <v>2.6565488904031618E-4</v>
      </c>
      <c r="BG81" s="1">
        <f t="shared" si="48"/>
        <v>1.4330331582404935E-6</v>
      </c>
      <c r="BH81" s="1">
        <f t="shared" si="49"/>
        <v>5.1412770028468383E-4</v>
      </c>
      <c r="BI81" s="1">
        <f t="shared" si="50"/>
        <v>3.4421436003646746E-4</v>
      </c>
      <c r="BJ81" s="1">
        <f t="shared" si="51"/>
        <v>4.8401947928579694E-6</v>
      </c>
      <c r="BK81" s="1">
        <f t="shared" si="52"/>
        <v>1.9232041446024206E-4</v>
      </c>
      <c r="BL81" s="1">
        <f t="shared" si="53"/>
        <v>1.01014824412366E-4</v>
      </c>
      <c r="BM81" s="1">
        <f t="shared" si="54"/>
        <v>8.5334802670816539E-4</v>
      </c>
      <c r="BN81" s="1">
        <f t="shared" si="55"/>
        <v>3.1499764932032541E-2</v>
      </c>
      <c r="BO81" s="1">
        <f t="shared" si="56"/>
        <v>5.9126682164233924E-5</v>
      </c>
      <c r="BP81" s="1">
        <f t="shared" si="57"/>
        <v>2.4803878938162351E-3</v>
      </c>
      <c r="BQ81" s="1">
        <f t="shared" si="58"/>
        <v>1.4163072780095523E-4</v>
      </c>
      <c r="BR81" s="1">
        <f t="shared" si="59"/>
        <v>1.4212661250838921E-4</v>
      </c>
      <c r="BS81" s="1">
        <f t="shared" si="60"/>
        <v>3.1161485027226253E-4</v>
      </c>
      <c r="BT81" s="1">
        <f t="shared" si="61"/>
        <v>2.6703309666159612E-4</v>
      </c>
      <c r="BU81" s="1">
        <f t="shared" si="62"/>
        <v>2.6397652592428031E-2</v>
      </c>
      <c r="BV81" s="1">
        <f t="shared" si="63"/>
        <v>2.5052897140755735E-2</v>
      </c>
      <c r="BW81" s="1">
        <f t="shared" si="64"/>
        <v>5.5812597107251886E-3</v>
      </c>
      <c r="BX81" s="1">
        <f t="shared" si="65"/>
        <v>4.6804233586558537E-6</v>
      </c>
      <c r="BY81" s="1">
        <f t="shared" si="66"/>
        <v>0</v>
      </c>
      <c r="BZ81" s="1">
        <f t="shared" si="67"/>
        <v>0</v>
      </c>
      <c r="CA81" s="1">
        <f t="shared" si="68"/>
        <v>0</v>
      </c>
      <c r="CB81" s="1">
        <f t="shared" si="69"/>
        <v>0</v>
      </c>
      <c r="CC81" s="1">
        <f t="shared" si="70"/>
        <v>0</v>
      </c>
      <c r="CD81" s="1">
        <f t="shared" si="71"/>
        <v>1.6526387490638235E-2</v>
      </c>
      <c r="CE81" s="1">
        <f t="shared" si="72"/>
        <v>1.0169438694299168E-2</v>
      </c>
      <c r="CF81" s="1">
        <f t="shared" si="73"/>
        <v>1.2423642607947375E-3</v>
      </c>
      <c r="CG81" s="1">
        <f t="shared" si="74"/>
        <v>1.3907888545750172E-5</v>
      </c>
      <c r="CH81" s="1">
        <f t="shared" si="75"/>
        <v>0</v>
      </c>
      <c r="CI81" s="1">
        <f t="shared" si="76"/>
        <v>1.2571209222988803E-5</v>
      </c>
      <c r="CJ81" s="1">
        <f t="shared" si="77"/>
        <v>2.0000657014505683E-2</v>
      </c>
      <c r="CK81" s="1">
        <f t="shared" si="78"/>
        <v>0</v>
      </c>
      <c r="CL81" s="1">
        <f t="shared" si="79"/>
        <v>7.7905103663779554E-3</v>
      </c>
      <c r="CM81" s="1">
        <f t="shared" si="80"/>
        <v>0</v>
      </c>
      <c r="CN81" s="1">
        <f t="shared" si="81"/>
        <v>0</v>
      </c>
      <c r="CO81" s="1">
        <f t="shared" si="82"/>
        <v>0</v>
      </c>
      <c r="CP81" s="1">
        <f t="shared" si="83"/>
        <v>0</v>
      </c>
      <c r="CQ81" s="1">
        <f t="shared" si="84"/>
        <v>0</v>
      </c>
      <c r="CR81" s="1">
        <f t="shared" si="85"/>
        <v>0</v>
      </c>
      <c r="CS81" s="1">
        <f t="shared" si="86"/>
        <v>1.6843622163021849E-3</v>
      </c>
      <c r="CT81" s="1">
        <f t="shared" si="87"/>
        <v>0</v>
      </c>
    </row>
    <row r="82" spans="1:98" x14ac:dyDescent="0.25">
      <c r="A82" s="14"/>
      <c r="B82" s="11"/>
      <c r="C82" t="s">
        <v>37</v>
      </c>
      <c r="D82">
        <v>0</v>
      </c>
      <c r="E82">
        <v>4.4132199999999998E-3</v>
      </c>
      <c r="F82">
        <v>4.905E-5</v>
      </c>
      <c r="G82">
        <v>0.15037545999999999</v>
      </c>
      <c r="H82">
        <v>4.6324299999999999E-2</v>
      </c>
      <c r="I82">
        <v>1.6174900000000001E-3</v>
      </c>
      <c r="J82">
        <v>6.7929599999999998E-3</v>
      </c>
      <c r="K82">
        <v>0.36061377</v>
      </c>
      <c r="L82">
        <v>0.39945977999999999</v>
      </c>
      <c r="M82">
        <v>4.0712797900000002</v>
      </c>
      <c r="N82">
        <v>2.2182700000000001E-3</v>
      </c>
      <c r="O82">
        <v>0.28555488000000001</v>
      </c>
      <c r="P82">
        <v>4.0385212800000003</v>
      </c>
      <c r="Q82">
        <v>2.9119999999999998E-4</v>
      </c>
      <c r="R82">
        <v>5.8351310999999999</v>
      </c>
      <c r="S82">
        <v>5.90973814</v>
      </c>
      <c r="T82">
        <v>12.292390129999999</v>
      </c>
      <c r="U82">
        <v>1.8666073599999999</v>
      </c>
      <c r="V82">
        <v>2.5614957299999999</v>
      </c>
      <c r="W82">
        <v>5.5451460000000001E-2</v>
      </c>
      <c r="X82">
        <v>0</v>
      </c>
      <c r="Y82">
        <v>0</v>
      </c>
      <c r="Z82">
        <v>0</v>
      </c>
      <c r="AA82">
        <v>0</v>
      </c>
      <c r="AB82">
        <v>0</v>
      </c>
      <c r="AC82">
        <v>17.212918349999999</v>
      </c>
      <c r="AD82">
        <v>2.7716518200000002</v>
      </c>
      <c r="AE82">
        <v>3.4229540000000003E-2</v>
      </c>
      <c r="AF82">
        <v>2.7142899999999998E-3</v>
      </c>
      <c r="AG82">
        <v>0</v>
      </c>
      <c r="AH82">
        <v>2.4260100000000001E-3</v>
      </c>
      <c r="AI82">
        <v>0.13505590000000001</v>
      </c>
      <c r="AJ82">
        <v>0</v>
      </c>
      <c r="AK82">
        <v>3.20862684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0.66564394999999998</v>
      </c>
      <c r="AS82">
        <v>0.12063901</v>
      </c>
      <c r="AT82" s="4">
        <v>0</v>
      </c>
      <c r="AU82">
        <v>0</v>
      </c>
      <c r="AV82">
        <v>18.02414598</v>
      </c>
      <c r="AW82">
        <v>18.02414598</v>
      </c>
      <c r="AX82">
        <v>0</v>
      </c>
      <c r="AY82" s="4">
        <v>0</v>
      </c>
      <c r="BB82" s="18"/>
      <c r="BC82" s="1">
        <f t="shared" si="88"/>
        <v>80.066377060000008</v>
      </c>
      <c r="BD82" t="s">
        <v>37</v>
      </c>
      <c r="BE82" s="1">
        <f t="shared" si="46"/>
        <v>0</v>
      </c>
      <c r="BF82" s="1">
        <f t="shared" si="47"/>
        <v>5.5119516606737788E-5</v>
      </c>
      <c r="BG82" s="1">
        <f t="shared" si="48"/>
        <v>6.1261670380368275E-7</v>
      </c>
      <c r="BH82" s="1">
        <f t="shared" si="49"/>
        <v>1.8781349365578498E-3</v>
      </c>
      <c r="BI82" s="1">
        <f t="shared" si="50"/>
        <v>5.7857369973522807E-4</v>
      </c>
      <c r="BJ82" s="1">
        <f t="shared" si="51"/>
        <v>2.0201863246389781E-5</v>
      </c>
      <c r="BK82" s="1">
        <f t="shared" si="52"/>
        <v>8.4841605795520176E-5</v>
      </c>
      <c r="BL82" s="1">
        <f t="shared" si="53"/>
        <v>4.5039351503286312E-3</v>
      </c>
      <c r="BM82" s="1">
        <f t="shared" si="54"/>
        <v>4.9891077212180276E-3</v>
      </c>
      <c r="BN82" s="1">
        <f t="shared" si="55"/>
        <v>5.0848807445715585E-2</v>
      </c>
      <c r="BO82" s="1">
        <f t="shared" si="56"/>
        <v>2.7705387472917334E-5</v>
      </c>
      <c r="BP82" s="1">
        <f t="shared" si="57"/>
        <v>3.5664768469043052E-3</v>
      </c>
      <c r="BQ82" s="1">
        <f t="shared" si="58"/>
        <v>5.0439665541174919E-2</v>
      </c>
      <c r="BR82" s="1">
        <f t="shared" si="59"/>
        <v>3.6369823475562157E-6</v>
      </c>
      <c r="BS82" s="1">
        <f t="shared" si="60"/>
        <v>7.2878670351566921E-2</v>
      </c>
      <c r="BT82" s="1">
        <f t="shared" si="61"/>
        <v>7.3810485212430305E-2</v>
      </c>
      <c r="BU82" s="1">
        <f t="shared" si="62"/>
        <v>0.15352749282995967</v>
      </c>
      <c r="BV82" s="1">
        <f t="shared" si="63"/>
        <v>2.3313248688662469E-2</v>
      </c>
      <c r="BW82" s="1">
        <f t="shared" si="64"/>
        <v>3.1992152312330435E-2</v>
      </c>
      <c r="BX82" s="1">
        <f t="shared" si="65"/>
        <v>6.9256861664223767E-4</v>
      </c>
      <c r="BY82" s="1">
        <f t="shared" si="66"/>
        <v>0</v>
      </c>
      <c r="BZ82" s="1">
        <f t="shared" si="67"/>
        <v>0</v>
      </c>
      <c r="CA82" s="1">
        <f t="shared" si="68"/>
        <v>0</v>
      </c>
      <c r="CB82" s="1">
        <f t="shared" si="69"/>
        <v>0</v>
      </c>
      <c r="CC82" s="1">
        <f t="shared" si="70"/>
        <v>0</v>
      </c>
      <c r="CD82" s="1">
        <f t="shared" si="71"/>
        <v>0.21498310504421864</v>
      </c>
      <c r="CE82" s="1">
        <f t="shared" si="72"/>
        <v>3.4616925628132074E-2</v>
      </c>
      <c r="CF82" s="1">
        <f t="shared" si="73"/>
        <v>4.2751453552530703E-4</v>
      </c>
      <c r="CG82" s="1">
        <f t="shared" si="74"/>
        <v>3.3900497308201791E-5</v>
      </c>
      <c r="CH82" s="1">
        <f t="shared" si="75"/>
        <v>0</v>
      </c>
      <c r="CI82" s="1">
        <f t="shared" si="76"/>
        <v>3.0299984701218601E-5</v>
      </c>
      <c r="CJ82" s="1">
        <f t="shared" si="77"/>
        <v>1.6867991903616675E-3</v>
      </c>
      <c r="CK82" s="1">
        <f t="shared" si="78"/>
        <v>0</v>
      </c>
      <c r="CL82" s="1">
        <f t="shared" si="79"/>
        <v>4.0074585085766085E-2</v>
      </c>
      <c r="CM82" s="1">
        <f t="shared" si="80"/>
        <v>0</v>
      </c>
      <c r="CN82" s="1">
        <f t="shared" si="81"/>
        <v>0</v>
      </c>
      <c r="CO82" s="1">
        <f t="shared" si="82"/>
        <v>0</v>
      </c>
      <c r="CP82" s="1">
        <f t="shared" si="83"/>
        <v>0</v>
      </c>
      <c r="CQ82" s="1">
        <f t="shared" si="84"/>
        <v>0</v>
      </c>
      <c r="CR82" s="1">
        <f t="shared" si="85"/>
        <v>0</v>
      </c>
      <c r="CS82" s="1">
        <f t="shared" si="86"/>
        <v>8.3136514282540954E-3</v>
      </c>
      <c r="CT82" s="1">
        <f t="shared" si="87"/>
        <v>1.5067374649610503E-3</v>
      </c>
    </row>
    <row r="83" spans="1:98" x14ac:dyDescent="0.25">
      <c r="A83" s="14"/>
      <c r="B83" s="11"/>
      <c r="C83" t="s">
        <v>38</v>
      </c>
      <c r="D83">
        <v>0</v>
      </c>
      <c r="E83">
        <v>2.4348849999999998E-2</v>
      </c>
      <c r="F83">
        <v>7.4328999999999997E-4</v>
      </c>
      <c r="G83">
        <v>0.35409797999999998</v>
      </c>
      <c r="H83">
        <v>4.4396610000000003E-2</v>
      </c>
      <c r="I83">
        <v>4.0571999999999998E-4</v>
      </c>
      <c r="J83">
        <v>1.6937199999999999E-3</v>
      </c>
      <c r="K83">
        <v>0.33941375000000001</v>
      </c>
      <c r="L83">
        <v>8.5845229999999995E-2</v>
      </c>
      <c r="M83">
        <v>0.11927877000000001</v>
      </c>
      <c r="N83">
        <v>1.1244499999999999E-3</v>
      </c>
      <c r="O83">
        <v>5.122985E-2</v>
      </c>
      <c r="P83">
        <v>1.980724E-2</v>
      </c>
      <c r="Q83">
        <v>1.5286E-4</v>
      </c>
      <c r="R83">
        <v>1.73638E-3</v>
      </c>
      <c r="S83">
        <v>6.7369999999999995E-4</v>
      </c>
      <c r="T83">
        <v>13.229512039999999</v>
      </c>
      <c r="U83">
        <v>7.43793624</v>
      </c>
      <c r="V83">
        <v>1.201265E-2</v>
      </c>
      <c r="W83">
        <v>2.5517399999999998E-3</v>
      </c>
      <c r="X83">
        <v>0</v>
      </c>
      <c r="Y83">
        <v>0</v>
      </c>
      <c r="Z83">
        <v>0</v>
      </c>
      <c r="AA83">
        <v>0</v>
      </c>
      <c r="AB83">
        <v>0</v>
      </c>
      <c r="AC83">
        <v>34.512019000000002</v>
      </c>
      <c r="AD83">
        <v>5.9935920300000003</v>
      </c>
      <c r="AE83">
        <v>1.859953E-2</v>
      </c>
      <c r="AF83">
        <v>5.0425799999999996E-3</v>
      </c>
      <c r="AG83">
        <v>0</v>
      </c>
      <c r="AH83">
        <v>3.3977130000000001E-2</v>
      </c>
      <c r="AI83">
        <v>8.0679039999999994E-2</v>
      </c>
      <c r="AJ83">
        <v>0</v>
      </c>
      <c r="AK83">
        <v>2.1601416699999998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0.36976310000000001</v>
      </c>
      <c r="AS83">
        <v>5.516861E-2</v>
      </c>
      <c r="AT83" s="4">
        <v>0</v>
      </c>
      <c r="AU83">
        <v>0</v>
      </c>
      <c r="AV83">
        <v>41.350661369999997</v>
      </c>
      <c r="AW83">
        <v>41.350661369999997</v>
      </c>
      <c r="AX83">
        <v>0</v>
      </c>
      <c r="AY83" s="4">
        <v>0</v>
      </c>
      <c r="BB83" s="18"/>
      <c r="BC83" s="1">
        <f t="shared" si="88"/>
        <v>106.30660512999999</v>
      </c>
      <c r="BD83" t="s">
        <v>38</v>
      </c>
      <c r="BE83" s="1">
        <f t="shared" si="46"/>
        <v>0</v>
      </c>
      <c r="BF83" s="1">
        <f t="shared" si="47"/>
        <v>2.2904362311470985E-4</v>
      </c>
      <c r="BG83" s="1">
        <f t="shared" si="48"/>
        <v>6.9919456000974454E-6</v>
      </c>
      <c r="BH83" s="1">
        <f t="shared" si="49"/>
        <v>3.3309123131811179E-3</v>
      </c>
      <c r="BI83" s="1">
        <f t="shared" si="50"/>
        <v>4.1762795402701809E-4</v>
      </c>
      <c r="BJ83" s="1">
        <f t="shared" si="51"/>
        <v>3.8165079159837151E-6</v>
      </c>
      <c r="BK83" s="1">
        <f t="shared" si="52"/>
        <v>1.5932406061963763E-5</v>
      </c>
      <c r="BL83" s="1">
        <f t="shared" si="53"/>
        <v>3.1927813853611302E-3</v>
      </c>
      <c r="BM83" s="1">
        <f t="shared" si="54"/>
        <v>8.0752489363216675E-4</v>
      </c>
      <c r="BN83" s="1">
        <f t="shared" si="55"/>
        <v>1.1220259536473451E-3</v>
      </c>
      <c r="BO83" s="1">
        <f t="shared" si="56"/>
        <v>1.0577423657024273E-5</v>
      </c>
      <c r="BP83" s="1">
        <f t="shared" si="57"/>
        <v>4.8190655639272979E-4</v>
      </c>
      <c r="BQ83" s="1">
        <f t="shared" si="58"/>
        <v>1.8632181862809151E-4</v>
      </c>
      <c r="BR83" s="1">
        <f t="shared" si="59"/>
        <v>1.4379162970454272E-6</v>
      </c>
      <c r="BS83" s="1">
        <f t="shared" si="60"/>
        <v>1.6333698154283257E-5</v>
      </c>
      <c r="BT83" s="1">
        <f t="shared" si="61"/>
        <v>6.3373296435922034E-6</v>
      </c>
      <c r="BU83" s="1">
        <f t="shared" si="62"/>
        <v>0.12444675496712478</v>
      </c>
      <c r="BV83" s="1">
        <f t="shared" si="63"/>
        <v>6.9966830667805749E-2</v>
      </c>
      <c r="BW83" s="1">
        <f t="shared" si="64"/>
        <v>1.1300003405536275E-4</v>
      </c>
      <c r="BX83" s="1">
        <f t="shared" si="65"/>
        <v>2.4003588458868887E-5</v>
      </c>
      <c r="BY83" s="1">
        <f t="shared" si="66"/>
        <v>0</v>
      </c>
      <c r="BZ83" s="1">
        <f t="shared" si="67"/>
        <v>0</v>
      </c>
      <c r="CA83" s="1">
        <f t="shared" si="68"/>
        <v>0</v>
      </c>
      <c r="CB83" s="1">
        <f t="shared" si="69"/>
        <v>0</v>
      </c>
      <c r="CC83" s="1">
        <f t="shared" si="70"/>
        <v>0</v>
      </c>
      <c r="CD83" s="1">
        <f t="shared" si="71"/>
        <v>0.3246460458199753</v>
      </c>
      <c r="CE83" s="1">
        <f t="shared" si="72"/>
        <v>5.6380241121147361E-2</v>
      </c>
      <c r="CF83" s="1">
        <f t="shared" si="73"/>
        <v>1.7496118869805922E-4</v>
      </c>
      <c r="CG83" s="1">
        <f t="shared" si="74"/>
        <v>4.7434305646705021E-5</v>
      </c>
      <c r="CH83" s="1">
        <f t="shared" si="75"/>
        <v>0</v>
      </c>
      <c r="CI83" s="1">
        <f t="shared" si="76"/>
        <v>3.1961447699745582E-4</v>
      </c>
      <c r="CJ83" s="1">
        <f t="shared" si="77"/>
        <v>7.5892781922006988E-4</v>
      </c>
      <c r="CK83" s="1">
        <f t="shared" si="78"/>
        <v>0</v>
      </c>
      <c r="CL83" s="1">
        <f t="shared" si="79"/>
        <v>2.0319919607614319E-2</v>
      </c>
      <c r="CM83" s="1">
        <f t="shared" si="80"/>
        <v>0</v>
      </c>
      <c r="CN83" s="1">
        <f t="shared" si="81"/>
        <v>0</v>
      </c>
      <c r="CO83" s="1">
        <f t="shared" si="82"/>
        <v>0</v>
      </c>
      <c r="CP83" s="1">
        <f t="shared" si="83"/>
        <v>0</v>
      </c>
      <c r="CQ83" s="1">
        <f t="shared" si="84"/>
        <v>0</v>
      </c>
      <c r="CR83" s="1">
        <f t="shared" si="85"/>
        <v>0</v>
      </c>
      <c r="CS83" s="1">
        <f t="shared" si="86"/>
        <v>3.4782702311660211E-3</v>
      </c>
      <c r="CT83" s="1">
        <f t="shared" si="87"/>
        <v>5.1895749970131701E-4</v>
      </c>
    </row>
    <row r="84" spans="1:98" x14ac:dyDescent="0.25">
      <c r="A84" s="14"/>
      <c r="B84" s="11"/>
      <c r="C84" t="s">
        <v>39</v>
      </c>
      <c r="D84">
        <v>0</v>
      </c>
      <c r="E84">
        <v>3.87419E-3</v>
      </c>
      <c r="F84">
        <v>8.8300000000000002E-6</v>
      </c>
      <c r="G84">
        <v>0.60155692000000005</v>
      </c>
      <c r="H84">
        <v>0.13986414</v>
      </c>
      <c r="I84">
        <v>8.2083000000000004E-4</v>
      </c>
      <c r="J84">
        <v>3.02155E-3</v>
      </c>
      <c r="K84">
        <v>3.8198099999999999E-2</v>
      </c>
      <c r="L84">
        <v>7.9700499999999994E-3</v>
      </c>
      <c r="M84">
        <v>124.74166305999999</v>
      </c>
      <c r="N84">
        <v>1.5569999999999998E-5</v>
      </c>
      <c r="O84">
        <v>4.0626429999999998E-2</v>
      </c>
      <c r="P84">
        <v>2.1319099999999999E-3</v>
      </c>
      <c r="Q84">
        <v>20.866369649999999</v>
      </c>
      <c r="R84">
        <v>7.1384999999999999E-3</v>
      </c>
      <c r="S84">
        <v>1.2835579999999999E-2</v>
      </c>
      <c r="T84">
        <v>6.9084583999999998</v>
      </c>
      <c r="U84">
        <v>2.5463666300000001</v>
      </c>
      <c r="V84">
        <v>7.9585649999999994E-2</v>
      </c>
      <c r="W84">
        <v>2.7637680000000001E-2</v>
      </c>
      <c r="X84">
        <v>0</v>
      </c>
      <c r="Y84">
        <v>0</v>
      </c>
      <c r="Z84">
        <v>0</v>
      </c>
      <c r="AA84">
        <v>0</v>
      </c>
      <c r="AB84">
        <v>0</v>
      </c>
      <c r="AC84">
        <v>5.7453619399999996</v>
      </c>
      <c r="AD84">
        <v>1.4865189000000001</v>
      </c>
      <c r="AE84">
        <v>8.5882500000000004E-3</v>
      </c>
      <c r="AF84">
        <v>2.99315E-3</v>
      </c>
      <c r="AG84">
        <v>0</v>
      </c>
      <c r="AH84">
        <v>8.5360499999999999E-3</v>
      </c>
      <c r="AI84">
        <v>1.801299E-2</v>
      </c>
      <c r="AJ84">
        <v>0</v>
      </c>
      <c r="AK84">
        <v>0.59143835</v>
      </c>
      <c r="AL84">
        <v>0</v>
      </c>
      <c r="AM84">
        <v>8.0000000000000002E-8</v>
      </c>
      <c r="AN84">
        <v>0</v>
      </c>
      <c r="AO84">
        <v>0</v>
      </c>
      <c r="AP84">
        <v>0</v>
      </c>
      <c r="AQ84">
        <v>0</v>
      </c>
      <c r="AR84">
        <v>1.0782976200000001</v>
      </c>
      <c r="AS84">
        <v>6.4621899999999996E-3</v>
      </c>
      <c r="AT84" s="4">
        <v>0</v>
      </c>
      <c r="AU84">
        <v>0</v>
      </c>
      <c r="AV84">
        <v>18.028495979999999</v>
      </c>
      <c r="AW84">
        <v>18.028495979999999</v>
      </c>
      <c r="AX84">
        <v>0</v>
      </c>
      <c r="AY84" s="4">
        <v>0</v>
      </c>
      <c r="BB84" s="18"/>
      <c r="BC84" s="1">
        <f t="shared" si="88"/>
        <v>183.00284917000005</v>
      </c>
      <c r="BD84" t="s">
        <v>39</v>
      </c>
      <c r="BE84" s="1">
        <f t="shared" si="46"/>
        <v>0</v>
      </c>
      <c r="BF84" s="1">
        <f t="shared" si="47"/>
        <v>2.1170107556091003E-5</v>
      </c>
      <c r="BG84" s="1">
        <f t="shared" si="48"/>
        <v>4.8250614895057693E-8</v>
      </c>
      <c r="BH84" s="1">
        <f t="shared" si="49"/>
        <v>3.2871451058184629E-3</v>
      </c>
      <c r="BI84" s="1">
        <f t="shared" si="50"/>
        <v>7.6427301888657231E-4</v>
      </c>
      <c r="BJ84" s="1">
        <f t="shared" si="51"/>
        <v>4.4853400027531378E-6</v>
      </c>
      <c r="BK84" s="1">
        <f t="shared" si="52"/>
        <v>1.6510945123008104E-5</v>
      </c>
      <c r="BL84" s="1">
        <f t="shared" si="53"/>
        <v>2.087295371260366E-4</v>
      </c>
      <c r="BM84" s="1">
        <f t="shared" si="54"/>
        <v>4.3551507728692467E-5</v>
      </c>
      <c r="BN84" s="1">
        <f t="shared" si="55"/>
        <v>0.68163781944248059</v>
      </c>
      <c r="BO84" s="1">
        <f t="shared" si="56"/>
        <v>8.5080642572598882E-8</v>
      </c>
      <c r="BP84" s="1">
        <f t="shared" si="57"/>
        <v>2.2199889337384126E-4</v>
      </c>
      <c r="BQ84" s="1">
        <f t="shared" si="58"/>
        <v>1.1649600045404579E-5</v>
      </c>
      <c r="BR84" s="1">
        <f t="shared" si="59"/>
        <v>0.11402210263194447</v>
      </c>
      <c r="BS84" s="1">
        <f t="shared" si="60"/>
        <v>3.9007589402986332E-5</v>
      </c>
      <c r="BT84" s="1">
        <f t="shared" si="61"/>
        <v>7.013868941502882E-5</v>
      </c>
      <c r="BU84" s="1">
        <f t="shared" si="62"/>
        <v>3.7750551050614541E-2</v>
      </c>
      <c r="BV84" s="1">
        <f t="shared" si="63"/>
        <v>1.3914355112769632E-2</v>
      </c>
      <c r="BW84" s="1">
        <f t="shared" si="64"/>
        <v>4.3488749142954106E-4</v>
      </c>
      <c r="BX84" s="1">
        <f t="shared" si="65"/>
        <v>1.5102322245445505E-4</v>
      </c>
      <c r="BY84" s="1">
        <f t="shared" si="66"/>
        <v>0</v>
      </c>
      <c r="BZ84" s="1">
        <f t="shared" si="67"/>
        <v>0</v>
      </c>
      <c r="CA84" s="1">
        <f t="shared" si="68"/>
        <v>0</v>
      </c>
      <c r="CB84" s="1">
        <f t="shared" si="69"/>
        <v>0</v>
      </c>
      <c r="CC84" s="1">
        <f t="shared" si="70"/>
        <v>0</v>
      </c>
      <c r="CD84" s="1">
        <f t="shared" si="71"/>
        <v>3.139493164209077E-2</v>
      </c>
      <c r="CE84" s="1">
        <f t="shared" si="72"/>
        <v>8.1229276305917076E-3</v>
      </c>
      <c r="CF84" s="1">
        <f t="shared" si="73"/>
        <v>4.6929597210926299E-5</v>
      </c>
      <c r="CG84" s="1">
        <f t="shared" si="74"/>
        <v>1.6355756282349027E-5</v>
      </c>
      <c r="CH84" s="1">
        <f t="shared" si="75"/>
        <v>0</v>
      </c>
      <c r="CI84" s="1">
        <f t="shared" si="76"/>
        <v>4.6644355750278278E-5</v>
      </c>
      <c r="CJ84" s="1">
        <f t="shared" si="77"/>
        <v>9.8430106862800135E-5</v>
      </c>
      <c r="CK84" s="1">
        <f t="shared" si="78"/>
        <v>0</v>
      </c>
      <c r="CL84" s="1">
        <f t="shared" si="79"/>
        <v>3.2318532344301635E-3</v>
      </c>
      <c r="CM84" s="1">
        <f t="shared" si="80"/>
        <v>0</v>
      </c>
      <c r="CN84" s="1">
        <f t="shared" si="81"/>
        <v>4.3715166382838227E-10</v>
      </c>
      <c r="CO84" s="1">
        <f t="shared" si="82"/>
        <v>0</v>
      </c>
      <c r="CP84" s="1">
        <f t="shared" si="83"/>
        <v>0</v>
      </c>
      <c r="CQ84" s="1">
        <f t="shared" si="84"/>
        <v>0</v>
      </c>
      <c r="CR84" s="1">
        <f t="shared" si="85"/>
        <v>0</v>
      </c>
      <c r="CS84" s="1">
        <f t="shared" si="86"/>
        <v>5.8922449835648082E-3</v>
      </c>
      <c r="CT84" s="1">
        <f t="shared" si="87"/>
        <v>3.5311963880939163E-5</v>
      </c>
    </row>
    <row r="85" spans="1:98" x14ac:dyDescent="0.25">
      <c r="A85" s="14"/>
      <c r="B85" s="11"/>
      <c r="C85" t="s">
        <v>40</v>
      </c>
      <c r="D85">
        <v>0</v>
      </c>
      <c r="E85">
        <v>1.0074999999999999E-3</v>
      </c>
      <c r="F85">
        <v>3.3519999999999998E-5</v>
      </c>
      <c r="G85">
        <v>0.10334982</v>
      </c>
      <c r="H85">
        <v>1.155896E-2</v>
      </c>
      <c r="I85">
        <v>1.344592E-2</v>
      </c>
      <c r="J85">
        <v>4.71069E-3</v>
      </c>
      <c r="K85">
        <v>2.7762469400000001</v>
      </c>
      <c r="L85">
        <v>1.6358459999999998E-2</v>
      </c>
      <c r="M85">
        <v>0.79658534000000003</v>
      </c>
      <c r="N85">
        <v>5.6360000000000002E-5</v>
      </c>
      <c r="O85">
        <v>0.11907157</v>
      </c>
      <c r="P85">
        <v>1.304253E-2</v>
      </c>
      <c r="Q85">
        <v>8.5140000000000001E-5</v>
      </c>
      <c r="R85">
        <v>1.0381500000000001E-3</v>
      </c>
      <c r="S85">
        <v>2.5929099999999999E-3</v>
      </c>
      <c r="T85">
        <v>4.6367617000000001</v>
      </c>
      <c r="U85">
        <v>0.35428525999999999</v>
      </c>
      <c r="V85">
        <v>0.17362089</v>
      </c>
      <c r="W85">
        <v>4.6723900000000002E-3</v>
      </c>
      <c r="X85">
        <v>0</v>
      </c>
      <c r="Y85">
        <v>0</v>
      </c>
      <c r="Z85">
        <v>0</v>
      </c>
      <c r="AA85">
        <v>0</v>
      </c>
      <c r="AB85">
        <v>0</v>
      </c>
      <c r="AC85">
        <v>8.2650970200000007</v>
      </c>
      <c r="AD85">
        <v>6.0135768399999998</v>
      </c>
      <c r="AE85">
        <v>1.5110480000000001E-2</v>
      </c>
      <c r="AF85">
        <v>3.4546000000000002E-4</v>
      </c>
      <c r="AG85">
        <v>0</v>
      </c>
      <c r="AH85">
        <v>9.4117889999999996E-2</v>
      </c>
      <c r="AI85">
        <v>8.2763390000000006E-2</v>
      </c>
      <c r="AJ85">
        <v>0</v>
      </c>
      <c r="AK85">
        <v>7.3621903199999998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18.969174559999999</v>
      </c>
      <c r="AS85">
        <v>1.0505270000000001E-2</v>
      </c>
      <c r="AT85" s="4">
        <v>3.9900866700000002</v>
      </c>
      <c r="AU85">
        <v>0</v>
      </c>
      <c r="AV85">
        <v>58.7852666</v>
      </c>
      <c r="AW85">
        <v>54.779719129999997</v>
      </c>
      <c r="AX85">
        <v>1.546081E-2</v>
      </c>
      <c r="AY85" s="4">
        <v>0</v>
      </c>
      <c r="BB85" s="18"/>
      <c r="BC85" s="1">
        <f t="shared" si="88"/>
        <v>108.62667188</v>
      </c>
      <c r="BD85" t="s">
        <v>40</v>
      </c>
      <c r="BE85" s="1">
        <f t="shared" si="46"/>
        <v>0</v>
      </c>
      <c r="BF85" s="1">
        <f t="shared" si="47"/>
        <v>9.2748860161433112E-6</v>
      </c>
      <c r="BG85" s="1">
        <f t="shared" si="48"/>
        <v>3.0857983053213283E-7</v>
      </c>
      <c r="BH85" s="1">
        <f t="shared" si="49"/>
        <v>9.5142213428181478E-4</v>
      </c>
      <c r="BI85" s="1">
        <f t="shared" si="50"/>
        <v>1.0640996175201976E-4</v>
      </c>
      <c r="BJ85" s="1">
        <f t="shared" si="51"/>
        <v>1.2378101774906372E-4</v>
      </c>
      <c r="BK85" s="1">
        <f t="shared" si="52"/>
        <v>4.3365868791450262E-5</v>
      </c>
      <c r="BL85" s="1">
        <f t="shared" si="53"/>
        <v>2.5557691236889987E-2</v>
      </c>
      <c r="BM85" s="1">
        <f t="shared" si="54"/>
        <v>1.5059340138922055E-4</v>
      </c>
      <c r="BN85" s="1">
        <f t="shared" si="55"/>
        <v>7.3332389385913311E-3</v>
      </c>
      <c r="BO85" s="1">
        <f t="shared" si="56"/>
        <v>5.1884126637204672E-7</v>
      </c>
      <c r="BP85" s="1">
        <f t="shared" si="57"/>
        <v>1.0961540838840989E-3</v>
      </c>
      <c r="BQ85" s="1">
        <f t="shared" si="58"/>
        <v>1.2006747306414852E-4</v>
      </c>
      <c r="BR85" s="1">
        <f t="shared" si="59"/>
        <v>7.8378540487785765E-7</v>
      </c>
      <c r="BS85" s="1">
        <f t="shared" si="60"/>
        <v>9.5570450795624619E-6</v>
      </c>
      <c r="BT85" s="1">
        <f t="shared" si="61"/>
        <v>2.3869920297884026E-5</v>
      </c>
      <c r="BU85" s="1">
        <f t="shared" si="62"/>
        <v>4.2685296527562179E-2</v>
      </c>
      <c r="BV85" s="1">
        <f t="shared" si="63"/>
        <v>3.2614941972205435E-3</v>
      </c>
      <c r="BW85" s="1">
        <f t="shared" si="64"/>
        <v>1.5983265159020905E-3</v>
      </c>
      <c r="BX85" s="1">
        <f t="shared" si="65"/>
        <v>4.3013285035203824E-5</v>
      </c>
      <c r="BY85" s="1">
        <f t="shared" si="66"/>
        <v>0</v>
      </c>
      <c r="BZ85" s="1">
        <f t="shared" si="67"/>
        <v>0</v>
      </c>
      <c r="CA85" s="1">
        <f t="shared" si="68"/>
        <v>0</v>
      </c>
      <c r="CB85" s="1">
        <f t="shared" si="69"/>
        <v>0</v>
      </c>
      <c r="CC85" s="1">
        <f t="shared" si="70"/>
        <v>0</v>
      </c>
      <c r="CD85" s="1">
        <f t="shared" si="71"/>
        <v>7.6087178930884139E-2</v>
      </c>
      <c r="CE85" s="1">
        <f t="shared" si="72"/>
        <v>5.5360039444485643E-2</v>
      </c>
      <c r="CF85" s="1">
        <f t="shared" si="73"/>
        <v>1.3910469444090642E-4</v>
      </c>
      <c r="CG85" s="1">
        <f t="shared" si="74"/>
        <v>3.1802502462896963E-6</v>
      </c>
      <c r="CH85" s="1">
        <f t="shared" si="75"/>
        <v>0</v>
      </c>
      <c r="CI85" s="1">
        <f t="shared" si="76"/>
        <v>8.6643444350363715E-4</v>
      </c>
      <c r="CJ85" s="1">
        <f t="shared" si="77"/>
        <v>7.6190670824775712E-4</v>
      </c>
      <c r="CK85" s="1">
        <f t="shared" si="78"/>
        <v>0</v>
      </c>
      <c r="CL85" s="1">
        <f t="shared" si="79"/>
        <v>6.7775162329681046E-2</v>
      </c>
      <c r="CM85" s="1">
        <f t="shared" si="80"/>
        <v>0</v>
      </c>
      <c r="CN85" s="1">
        <f t="shared" si="81"/>
        <v>0</v>
      </c>
      <c r="CO85" s="1">
        <f t="shared" si="82"/>
        <v>0</v>
      </c>
      <c r="CP85" s="1">
        <f t="shared" si="83"/>
        <v>0</v>
      </c>
      <c r="CQ85" s="1">
        <f t="shared" si="84"/>
        <v>0</v>
      </c>
      <c r="CR85" s="1">
        <f t="shared" si="85"/>
        <v>0</v>
      </c>
      <c r="CS85" s="1">
        <f t="shared" si="86"/>
        <v>0.17462722765689873</v>
      </c>
      <c r="CT85" s="1">
        <f t="shared" si="87"/>
        <v>9.6709857884674796E-5</v>
      </c>
    </row>
    <row r="86" spans="1:98" x14ac:dyDescent="0.25">
      <c r="A86" s="14"/>
      <c r="B86" s="11"/>
      <c r="C86" s="5" t="s">
        <v>41</v>
      </c>
      <c r="D86" s="3">
        <v>0</v>
      </c>
      <c r="E86" s="3">
        <v>3.80782E-3</v>
      </c>
      <c r="F86" s="3">
        <v>4.6529999999999997E-5</v>
      </c>
      <c r="G86" s="3">
        <v>3.0544600000000002E-3</v>
      </c>
      <c r="H86" s="3">
        <v>2.5812849999999998E-2</v>
      </c>
      <c r="I86" s="3">
        <v>6.4215670000000002E-2</v>
      </c>
      <c r="J86" s="3">
        <v>4.332656E-2</v>
      </c>
      <c r="K86" s="3">
        <v>0.31887504</v>
      </c>
      <c r="L86" s="3">
        <v>0.14327417000000001</v>
      </c>
      <c r="M86" s="3">
        <v>4.8438179999999997E-2</v>
      </c>
      <c r="N86" s="3">
        <v>7.7000000000000008E-6</v>
      </c>
      <c r="O86" s="3">
        <v>4.0727489999999998E-2</v>
      </c>
      <c r="P86" s="3">
        <v>1.9662760000000001E-2</v>
      </c>
      <c r="Q86" s="3">
        <v>1.7862240000000001E-2</v>
      </c>
      <c r="R86" s="3">
        <v>2.4000540000000001E-2</v>
      </c>
      <c r="S86" s="3">
        <v>1.430851E-2</v>
      </c>
      <c r="T86" s="3">
        <v>7.1366873100000001</v>
      </c>
      <c r="U86" s="3">
        <v>0.67005912000000001</v>
      </c>
      <c r="V86" s="3">
        <v>0.66755211000000003</v>
      </c>
      <c r="W86" s="3">
        <v>1.2092439999999999E-2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83.405115390000006</v>
      </c>
      <c r="AD86" s="3">
        <v>66.106729979999997</v>
      </c>
      <c r="AE86" s="3">
        <v>9.7861100000000006E-3</v>
      </c>
      <c r="AF86" s="3">
        <v>4.3314800000000004E-3</v>
      </c>
      <c r="AG86" s="3">
        <v>0</v>
      </c>
      <c r="AH86" s="3">
        <v>2.385292E-2</v>
      </c>
      <c r="AI86" s="3">
        <v>0.52506960000000003</v>
      </c>
      <c r="AJ86" s="3">
        <v>0</v>
      </c>
      <c r="AK86" s="3">
        <v>8.8328065500000008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6.8141537100000003</v>
      </c>
      <c r="AS86" s="3">
        <v>16.263458539999998</v>
      </c>
      <c r="AT86" s="5">
        <v>0</v>
      </c>
      <c r="AU86" s="3">
        <v>0</v>
      </c>
      <c r="AV86" s="3">
        <v>0</v>
      </c>
      <c r="AW86" s="3">
        <v>0</v>
      </c>
      <c r="AX86" s="3">
        <v>0</v>
      </c>
      <c r="AY86" s="5">
        <v>0</v>
      </c>
      <c r="BB86" s="18"/>
      <c r="BC86" s="1">
        <f t="shared" si="88"/>
        <v>191.23911577999993</v>
      </c>
      <c r="BD86" s="5" t="s">
        <v>41</v>
      </c>
      <c r="BE86" s="1">
        <f t="shared" si="46"/>
        <v>0</v>
      </c>
      <c r="BF86" s="1">
        <f t="shared" si="47"/>
        <v>1.9911303105900615E-5</v>
      </c>
      <c r="BG86" s="1">
        <f t="shared" si="48"/>
        <v>2.4330796453549682E-7</v>
      </c>
      <c r="BH86" s="1">
        <f t="shared" si="49"/>
        <v>1.5971941658179536E-5</v>
      </c>
      <c r="BI86" s="1">
        <f t="shared" si="50"/>
        <v>1.3497683198710722E-4</v>
      </c>
      <c r="BJ86" s="1">
        <f t="shared" si="51"/>
        <v>3.3578731912708293E-4</v>
      </c>
      <c r="BK86" s="1">
        <f t="shared" si="52"/>
        <v>2.2655699815011984E-4</v>
      </c>
      <c r="BL86" s="1">
        <f t="shared" si="53"/>
        <v>1.6674153647877742E-3</v>
      </c>
      <c r="BM86" s="1">
        <f t="shared" si="54"/>
        <v>7.4918862396760688E-4</v>
      </c>
      <c r="BN86" s="1">
        <f t="shared" si="55"/>
        <v>2.5328594415654441E-4</v>
      </c>
      <c r="BO86" s="1">
        <f t="shared" si="56"/>
        <v>4.0263729355755987E-8</v>
      </c>
      <c r="BP86" s="1">
        <f t="shared" si="57"/>
        <v>2.1296631619470882E-4</v>
      </c>
      <c r="BQ86" s="1">
        <f t="shared" si="58"/>
        <v>1.028176684450889E-4</v>
      </c>
      <c r="BR86" s="1">
        <f t="shared" si="59"/>
        <v>9.3402648967215427E-5</v>
      </c>
      <c r="BS86" s="1">
        <f t="shared" si="60"/>
        <v>1.2550016194181761E-4</v>
      </c>
      <c r="BT86" s="1">
        <f t="shared" si="61"/>
        <v>7.4819996639497144E-5</v>
      </c>
      <c r="BU86" s="1">
        <f t="shared" si="62"/>
        <v>3.7318135889155606E-2</v>
      </c>
      <c r="BV86" s="1">
        <f t="shared" si="63"/>
        <v>3.5037765013033791E-3</v>
      </c>
      <c r="BW86" s="1">
        <f t="shared" si="64"/>
        <v>3.4906672062212786E-3</v>
      </c>
      <c r="BX86" s="1">
        <f t="shared" si="65"/>
        <v>6.3232043040352959E-5</v>
      </c>
      <c r="BY86" s="1">
        <f t="shared" si="66"/>
        <v>0</v>
      </c>
      <c r="BZ86" s="1">
        <f t="shared" si="67"/>
        <v>0</v>
      </c>
      <c r="CA86" s="1">
        <f t="shared" si="68"/>
        <v>0</v>
      </c>
      <c r="CB86" s="1">
        <f t="shared" si="69"/>
        <v>0</v>
      </c>
      <c r="CC86" s="1">
        <f t="shared" si="70"/>
        <v>0</v>
      </c>
      <c r="CD86" s="1">
        <f t="shared" si="71"/>
        <v>0.43612999908422834</v>
      </c>
      <c r="CE86" s="1">
        <f t="shared" si="72"/>
        <v>0.34567577720892984</v>
      </c>
      <c r="CF86" s="1">
        <f t="shared" si="73"/>
        <v>5.1172114868267165E-5</v>
      </c>
      <c r="CG86" s="1">
        <f t="shared" si="74"/>
        <v>2.2649550445437653E-5</v>
      </c>
      <c r="CH86" s="1">
        <f t="shared" si="75"/>
        <v>0</v>
      </c>
      <c r="CI86" s="1">
        <f t="shared" si="76"/>
        <v>1.2472824873045439E-4</v>
      </c>
      <c r="CJ86" s="1">
        <f t="shared" si="77"/>
        <v>2.7456182165370197E-3</v>
      </c>
      <c r="CK86" s="1">
        <f t="shared" si="78"/>
        <v>0</v>
      </c>
      <c r="CL86" s="1">
        <f t="shared" si="79"/>
        <v>4.6187237971551783E-2</v>
      </c>
      <c r="CM86" s="1">
        <f t="shared" si="80"/>
        <v>0</v>
      </c>
      <c r="CN86" s="1">
        <f t="shared" si="81"/>
        <v>0</v>
      </c>
      <c r="CO86" s="1">
        <f t="shared" si="82"/>
        <v>0</v>
      </c>
      <c r="CP86" s="1">
        <f t="shared" si="83"/>
        <v>0</v>
      </c>
      <c r="CQ86" s="1">
        <f t="shared" si="84"/>
        <v>0</v>
      </c>
      <c r="CR86" s="1">
        <f t="shared" si="85"/>
        <v>0</v>
      </c>
      <c r="CS86" s="1">
        <f t="shared" si="86"/>
        <v>3.5631589710124742E-2</v>
      </c>
      <c r="CT86" s="1">
        <f t="shared" si="87"/>
        <v>8.5042531564041332E-2</v>
      </c>
    </row>
    <row r="87" spans="1:98" ht="15" customHeight="1" x14ac:dyDescent="0.25">
      <c r="A87" s="15" t="s">
        <v>51</v>
      </c>
      <c r="B87" s="16"/>
      <c r="C87" t="s">
        <v>46</v>
      </c>
      <c r="D87">
        <v>149.84804671000001</v>
      </c>
      <c r="E87">
        <v>751.70122602000004</v>
      </c>
      <c r="F87">
        <v>127.33216444999999</v>
      </c>
      <c r="G87">
        <v>1188.5063756</v>
      </c>
      <c r="H87">
        <v>449.80529819999998</v>
      </c>
      <c r="I87">
        <v>736.86149840999997</v>
      </c>
      <c r="J87">
        <v>449.48071047000002</v>
      </c>
      <c r="K87">
        <v>594.32847532000005</v>
      </c>
      <c r="L87">
        <v>162.9668533</v>
      </c>
      <c r="M87">
        <v>1600.7600890799999</v>
      </c>
      <c r="N87">
        <v>703.25791908999997</v>
      </c>
      <c r="O87">
        <v>846.53075182999999</v>
      </c>
      <c r="P87">
        <v>979.30706813999996</v>
      </c>
      <c r="Q87">
        <v>738.65714704000004</v>
      </c>
      <c r="R87">
        <v>1088.6817469499999</v>
      </c>
      <c r="S87">
        <v>882.17304688000002</v>
      </c>
      <c r="T87">
        <v>1335.79247291</v>
      </c>
      <c r="U87">
        <v>188.52840320999999</v>
      </c>
      <c r="V87">
        <v>199.61910549999999</v>
      </c>
      <c r="W87">
        <v>132.81081682999999</v>
      </c>
      <c r="X87">
        <v>861.52812009000002</v>
      </c>
      <c r="Y87">
        <v>72.224230660000003</v>
      </c>
      <c r="Z87">
        <v>125.46410971</v>
      </c>
      <c r="AA87">
        <v>5728.6744371100003</v>
      </c>
      <c r="AB87">
        <v>6843.7453057599996</v>
      </c>
      <c r="AC87">
        <v>2585.7498966799999</v>
      </c>
      <c r="AD87">
        <v>1710.40125395</v>
      </c>
      <c r="AE87">
        <v>9321.3153886100008</v>
      </c>
      <c r="AF87">
        <v>750.50695686999995</v>
      </c>
      <c r="AG87">
        <v>210.15362923999999</v>
      </c>
      <c r="AH87">
        <v>2423.4377975000002</v>
      </c>
      <c r="AI87">
        <v>2369.05898832</v>
      </c>
      <c r="AJ87">
        <v>1172.0835774</v>
      </c>
      <c r="AK87">
        <v>3572.8443986299999</v>
      </c>
      <c r="AL87">
        <v>1180.6289781200001</v>
      </c>
      <c r="AM87">
        <v>1228.42387121</v>
      </c>
      <c r="AN87">
        <v>441.50796192000001</v>
      </c>
      <c r="AO87">
        <v>2182.3467607100001</v>
      </c>
      <c r="AP87">
        <v>3898.9102081199999</v>
      </c>
      <c r="AQ87">
        <v>2463.9875038199998</v>
      </c>
      <c r="AR87">
        <v>700.72754134000002</v>
      </c>
      <c r="AS87">
        <v>5572.3383718599998</v>
      </c>
    </row>
    <row r="88" spans="1:98" x14ac:dyDescent="0.25">
      <c r="A88" s="15"/>
      <c r="B88" s="16"/>
      <c r="C88" t="s">
        <v>47</v>
      </c>
      <c r="D88">
        <v>309.65753561999998</v>
      </c>
      <c r="E88">
        <v>192.74220217000001</v>
      </c>
      <c r="F88">
        <v>68.084000110000005</v>
      </c>
      <c r="G88">
        <v>1225.2056592500001</v>
      </c>
      <c r="H88">
        <v>-3.3095313800000001</v>
      </c>
      <c r="I88">
        <v>-27.854798580000001</v>
      </c>
      <c r="J88">
        <v>53.360242450000001</v>
      </c>
      <c r="K88">
        <v>69.135135270000006</v>
      </c>
      <c r="L88">
        <v>731.47550951999995</v>
      </c>
      <c r="M88">
        <v>516.33310280000001</v>
      </c>
      <c r="N88">
        <v>334.96932464999998</v>
      </c>
      <c r="O88">
        <v>73.030453919999999</v>
      </c>
      <c r="P88">
        <v>133.16552325000001</v>
      </c>
      <c r="Q88">
        <v>133.25793375000001</v>
      </c>
      <c r="R88">
        <v>397.32828928999999</v>
      </c>
      <c r="S88">
        <v>33.931725479999997</v>
      </c>
      <c r="T88">
        <v>-13.19994488</v>
      </c>
      <c r="U88">
        <v>69.962213980000001</v>
      </c>
      <c r="V88">
        <v>93.206923860000003</v>
      </c>
      <c r="W88">
        <v>13.954688089999999</v>
      </c>
      <c r="X88">
        <v>305.02483912000002</v>
      </c>
      <c r="Y88">
        <v>26.1251614</v>
      </c>
      <c r="Z88">
        <v>30.994153099999998</v>
      </c>
      <c r="AA88">
        <v>857.64131255999996</v>
      </c>
      <c r="AB88">
        <v>1469.01641387</v>
      </c>
      <c r="AC88">
        <v>206.90792719000001</v>
      </c>
      <c r="AD88">
        <v>39.436660719999999</v>
      </c>
      <c r="AE88">
        <v>-428.08349238</v>
      </c>
      <c r="AF88">
        <v>427.39306728000003</v>
      </c>
      <c r="AG88">
        <v>595.29312757000002</v>
      </c>
      <c r="AH88">
        <v>311.04406446000002</v>
      </c>
      <c r="AI88">
        <v>970.67711872999996</v>
      </c>
      <c r="AJ88">
        <v>712.61748079999995</v>
      </c>
      <c r="AK88">
        <v>343.77085225000002</v>
      </c>
      <c r="AL88">
        <v>26.60998691</v>
      </c>
      <c r="AM88">
        <v>143.39036791000001</v>
      </c>
      <c r="AN88">
        <v>34.27248419</v>
      </c>
      <c r="AO88">
        <v>56.634388039999997</v>
      </c>
      <c r="AP88">
        <v>18.989720640000002</v>
      </c>
      <c r="AQ88">
        <v>10.17871025</v>
      </c>
      <c r="AR88">
        <v>42.267688130000003</v>
      </c>
      <c r="AS88">
        <v>14.086233249999999</v>
      </c>
    </row>
    <row r="89" spans="1:98" x14ac:dyDescent="0.25">
      <c r="A89" s="15"/>
      <c r="B89" s="16"/>
      <c r="C89" t="s">
        <v>48</v>
      </c>
      <c r="D89">
        <v>59.432288110000002</v>
      </c>
      <c r="E89">
        <v>321.38087086000002</v>
      </c>
      <c r="F89">
        <v>34.957831839999997</v>
      </c>
      <c r="G89">
        <v>354.14416548999998</v>
      </c>
      <c r="H89">
        <v>120.24670847</v>
      </c>
      <c r="I89">
        <v>74.340524090000002</v>
      </c>
      <c r="J89">
        <v>114.12375858999999</v>
      </c>
      <c r="K89">
        <v>163.93799586</v>
      </c>
      <c r="L89">
        <v>197.04850164999999</v>
      </c>
      <c r="M89">
        <v>767.14055625000003</v>
      </c>
      <c r="N89">
        <v>548.66315349000001</v>
      </c>
      <c r="O89">
        <v>227.3211221</v>
      </c>
      <c r="P89">
        <v>198.09279669</v>
      </c>
      <c r="Q89">
        <v>118.15528208000001</v>
      </c>
      <c r="R89">
        <v>409.34342022999999</v>
      </c>
      <c r="S89">
        <v>277.09930771000001</v>
      </c>
      <c r="T89">
        <v>564.79951372999994</v>
      </c>
      <c r="U89">
        <v>28.673362919999999</v>
      </c>
      <c r="V89">
        <v>89.540406790000006</v>
      </c>
      <c r="W89">
        <v>13.2357858</v>
      </c>
      <c r="X89">
        <v>1311.5152794200001</v>
      </c>
      <c r="Y89">
        <v>43.861957140000001</v>
      </c>
      <c r="Z89">
        <v>103.88478126</v>
      </c>
      <c r="AA89">
        <v>185.83697794</v>
      </c>
      <c r="AB89">
        <v>443.98052503999997</v>
      </c>
      <c r="AC89">
        <v>1786.76812307</v>
      </c>
      <c r="AD89">
        <v>190.32063088000001</v>
      </c>
      <c r="AE89">
        <v>327.90465330000001</v>
      </c>
      <c r="AF89">
        <v>165.08740822999999</v>
      </c>
      <c r="AG89">
        <v>208.80335457000001</v>
      </c>
      <c r="AH89">
        <v>867.79885065999997</v>
      </c>
      <c r="AI89">
        <v>330.14368088999998</v>
      </c>
      <c r="AJ89">
        <v>4113.5815388800002</v>
      </c>
      <c r="AK89">
        <v>845.06300567000005</v>
      </c>
      <c r="AL89">
        <v>1000.7138108300001</v>
      </c>
      <c r="AM89">
        <v>222.53715252999999</v>
      </c>
      <c r="AN89">
        <v>179.69614834999999</v>
      </c>
      <c r="AO89">
        <v>150.35568377999999</v>
      </c>
      <c r="AP89">
        <v>623.73484206000001</v>
      </c>
      <c r="AQ89">
        <v>807.80738222000002</v>
      </c>
      <c r="AR89">
        <v>249.89427108999999</v>
      </c>
      <c r="AS89">
        <v>695.29692029</v>
      </c>
    </row>
    <row r="90" spans="1:98" x14ac:dyDescent="0.25">
      <c r="A90" s="15"/>
      <c r="B90" s="16"/>
      <c r="C90" t="s">
        <v>49</v>
      </c>
      <c r="D90">
        <v>131.14951679000001</v>
      </c>
      <c r="E90">
        <v>574.56677523999997</v>
      </c>
      <c r="F90">
        <v>96.303536210000004</v>
      </c>
      <c r="G90">
        <v>821.39552794999997</v>
      </c>
      <c r="H90">
        <v>163.10835356000001</v>
      </c>
      <c r="I90">
        <v>352.71897590999998</v>
      </c>
      <c r="J90">
        <v>198.70232075999999</v>
      </c>
      <c r="K90">
        <v>395.44829907000002</v>
      </c>
      <c r="L90">
        <v>84.127160930000002</v>
      </c>
      <c r="M90">
        <v>1446.04723788</v>
      </c>
      <c r="N90">
        <v>552.70897208999997</v>
      </c>
      <c r="O90">
        <v>462.73586060000002</v>
      </c>
      <c r="P90">
        <v>575.57149077999998</v>
      </c>
      <c r="Q90">
        <v>494.01629209999999</v>
      </c>
      <c r="R90">
        <v>768.06202081000004</v>
      </c>
      <c r="S90">
        <v>930.09145607000005</v>
      </c>
      <c r="T90">
        <v>957.29991387999996</v>
      </c>
      <c r="U90">
        <v>145.02167544</v>
      </c>
      <c r="V90">
        <v>674.30102323999995</v>
      </c>
      <c r="W90">
        <v>38.095653220000003</v>
      </c>
      <c r="X90">
        <v>285.07359528000001</v>
      </c>
      <c r="Y90">
        <v>108.0926214</v>
      </c>
      <c r="Z90">
        <v>38.102528720000002</v>
      </c>
      <c r="AA90">
        <v>2520.30511007</v>
      </c>
      <c r="AB90">
        <v>3215.3122254999998</v>
      </c>
      <c r="AC90">
        <v>1217.27548628</v>
      </c>
      <c r="AD90">
        <v>422.50781430000001</v>
      </c>
      <c r="AE90">
        <v>302.14960363</v>
      </c>
      <c r="AF90">
        <v>664.20635883</v>
      </c>
      <c r="AG90">
        <v>298.44267108999998</v>
      </c>
      <c r="AH90">
        <v>2241.1225173399998</v>
      </c>
      <c r="AI90">
        <v>5722.8087276799997</v>
      </c>
      <c r="AJ90">
        <v>2333.8751779200002</v>
      </c>
      <c r="AK90">
        <v>492.80968199</v>
      </c>
      <c r="AL90">
        <v>214.40564968000001</v>
      </c>
      <c r="AM90">
        <v>749.17994581000005</v>
      </c>
      <c r="AN90">
        <v>93.529969339999994</v>
      </c>
      <c r="AO90">
        <v>341.44290998000002</v>
      </c>
      <c r="AP90">
        <v>56.432107690000002</v>
      </c>
      <c r="AQ90">
        <v>-37.322050699999998</v>
      </c>
      <c r="AR90">
        <v>43.693202380000002</v>
      </c>
      <c r="AS90">
        <v>33.604728860000002</v>
      </c>
    </row>
    <row r="91" spans="1:98" x14ac:dyDescent="0.25">
      <c r="A91" s="15"/>
      <c r="B91" s="16"/>
      <c r="C91" t="s">
        <v>50</v>
      </c>
      <c r="D91">
        <v>650.08738722999999</v>
      </c>
      <c r="E91">
        <v>1840.39107429</v>
      </c>
      <c r="F91">
        <v>326.67753261000001</v>
      </c>
      <c r="G91">
        <v>3589.2517282899998</v>
      </c>
      <c r="H91">
        <v>729.85082884999997</v>
      </c>
      <c r="I91">
        <v>1136.0661998400001</v>
      </c>
      <c r="J91">
        <v>815.66703227000005</v>
      </c>
      <c r="K91">
        <v>1222.84990552</v>
      </c>
      <c r="L91">
        <v>1175.6180254000001</v>
      </c>
      <c r="M91">
        <v>4330.2809860099997</v>
      </c>
      <c r="N91">
        <v>2139.5993693199998</v>
      </c>
      <c r="O91">
        <v>1609.6181884499999</v>
      </c>
      <c r="P91">
        <v>1886.13687886</v>
      </c>
      <c r="Q91">
        <v>1484.0866549699999</v>
      </c>
      <c r="R91">
        <v>2663.4154772900001</v>
      </c>
      <c r="S91">
        <v>2123.29553614</v>
      </c>
      <c r="T91">
        <v>2844.6919556500002</v>
      </c>
      <c r="U91">
        <v>432.18565555999999</v>
      </c>
      <c r="V91">
        <v>1056.66745939</v>
      </c>
      <c r="W91">
        <v>198.09694393999999</v>
      </c>
      <c r="X91">
        <v>2763.1418339100001</v>
      </c>
      <c r="Y91">
        <v>250.30397060000001</v>
      </c>
      <c r="Z91">
        <v>298.44557279000003</v>
      </c>
      <c r="AA91">
        <v>9292.45783768</v>
      </c>
      <c r="AB91">
        <v>11972.054470180001</v>
      </c>
      <c r="AC91">
        <v>5796.7014332099998</v>
      </c>
      <c r="AD91">
        <v>2362.6663598499999</v>
      </c>
      <c r="AE91">
        <v>9523.2861531599992</v>
      </c>
      <c r="AF91">
        <v>2007.19379121</v>
      </c>
      <c r="AG91">
        <v>1312.69278248</v>
      </c>
      <c r="AH91">
        <v>5843.4032299700002</v>
      </c>
      <c r="AI91">
        <v>9392.6885156299995</v>
      </c>
      <c r="AJ91">
        <v>8332.1577749999997</v>
      </c>
      <c r="AK91">
        <v>5254.48793854</v>
      </c>
      <c r="AL91">
        <v>2422.35842555</v>
      </c>
      <c r="AM91">
        <v>2343.5313374500001</v>
      </c>
      <c r="AN91">
        <v>749.00656380999999</v>
      </c>
      <c r="AO91">
        <v>2730.7797425099998</v>
      </c>
      <c r="AP91">
        <v>4598.0668784999998</v>
      </c>
      <c r="AQ91">
        <v>3244.6515456000002</v>
      </c>
      <c r="AR91">
        <v>1036.58270294</v>
      </c>
      <c r="AS91">
        <v>6315.3262542499997</v>
      </c>
    </row>
    <row r="92" spans="1:98" ht="23.25" x14ac:dyDescent="0.35">
      <c r="A92" s="8" t="s">
        <v>52</v>
      </c>
      <c r="B92" s="8"/>
      <c r="C92" s="8"/>
      <c r="D92">
        <f>SUM(D3:D44)+AV3</f>
        <v>1202.9960900299998</v>
      </c>
    </row>
    <row r="97" spans="4:7" x14ac:dyDescent="0.25">
      <c r="D97">
        <f>(SUM(D3:D44)+AV3)</f>
        <v>1202.9960900299998</v>
      </c>
      <c r="F97">
        <f>SUM(E4:AS4)+AV4</f>
        <v>5684.4457474000001</v>
      </c>
    </row>
    <row r="98" spans="4:7" x14ac:dyDescent="0.25">
      <c r="D98">
        <f>SUM(D45:D86)</f>
        <v>1525.40269259</v>
      </c>
      <c r="F98">
        <f>SUM(E3:E44)+AV4</f>
        <v>7343.5766809299994</v>
      </c>
      <c r="G98">
        <f>SUM(F3:F44)+AV5</f>
        <v>848.42776965999974</v>
      </c>
    </row>
    <row r="100" spans="4:7" x14ac:dyDescent="0.25">
      <c r="D100">
        <f>SUM(D3:AS3)+D91</f>
        <v>1075.7626385199999</v>
      </c>
      <c r="F100">
        <f>SUM(D4:AS4)+E91+SUM(D46:AS46)</f>
        <v>7343.5766809499992</v>
      </c>
      <c r="G100">
        <f>SUM(D5:AS5)+F91</f>
        <v>842.27053870000009</v>
      </c>
    </row>
    <row r="102" spans="4:7" x14ac:dyDescent="0.25">
      <c r="D102">
        <f>SUM(D45:AS45)+SUM(D3:AS3)+D91</f>
        <v>1202.9960900199999</v>
      </c>
    </row>
  </sheetData>
  <mergeCells count="9">
    <mergeCell ref="A92:C92"/>
    <mergeCell ref="BB45:BB86"/>
    <mergeCell ref="BB2:BB44"/>
    <mergeCell ref="C1:AS1"/>
    <mergeCell ref="AT1:AX1"/>
    <mergeCell ref="A2:A86"/>
    <mergeCell ref="B2:B44"/>
    <mergeCell ref="B45:B86"/>
    <mergeCell ref="A87:B9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E77A-9086-4A3C-8F22-83EF92BA20CA}">
  <dimension ref="A1:AQ43"/>
  <sheetViews>
    <sheetView zoomScale="62" zoomScaleNormal="62" workbookViewId="0">
      <selection activeCell="AH46" sqref="AH46"/>
    </sheetView>
  </sheetViews>
  <sheetFormatPr defaultRowHeight="15" x14ac:dyDescent="0.25"/>
  <sheetData>
    <row r="1" spans="1:4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25">
      <c r="A2" t="s">
        <v>0</v>
      </c>
      <c r="B2">
        <v>4.0803934183347122E-2</v>
      </c>
      <c r="C2">
        <v>2.6724509299276733E-3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3.6504493149579654E-4</v>
      </c>
      <c r="K2">
        <v>4.9986432317748377E-3</v>
      </c>
      <c r="L2">
        <v>7.1728587643600628E-2</v>
      </c>
      <c r="M2">
        <v>6.8422776161632271E-3</v>
      </c>
      <c r="N2">
        <v>0</v>
      </c>
      <c r="O2">
        <v>0</v>
      </c>
      <c r="P2">
        <v>0</v>
      </c>
      <c r="Q2">
        <v>0</v>
      </c>
      <c r="R2">
        <v>1.4043187814590976E-5</v>
      </c>
      <c r="S2">
        <v>0</v>
      </c>
      <c r="T2">
        <v>3.3870358931467233E-3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3.9416684546050157E-4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25">
      <c r="A3" t="s">
        <v>1</v>
      </c>
      <c r="B3">
        <v>1.945635708559192E-3</v>
      </c>
      <c r="C3">
        <v>0.19044977117050718</v>
      </c>
      <c r="D3">
        <v>2.2183862555020476E-2</v>
      </c>
      <c r="E3">
        <v>2.9315676917703558E-3</v>
      </c>
      <c r="F3">
        <v>7.8601372879819346E-4</v>
      </c>
      <c r="G3">
        <v>1.3369929783815697E-3</v>
      </c>
      <c r="H3">
        <v>5.8652486655563548E-3</v>
      </c>
      <c r="I3">
        <v>2.1402346088187424E-3</v>
      </c>
      <c r="J3">
        <v>8.3099847197916563E-3</v>
      </c>
      <c r="K3">
        <v>4.7490729814429105E-3</v>
      </c>
      <c r="L3">
        <v>1.4292610486483542E-2</v>
      </c>
      <c r="M3">
        <v>1.077337668389932E-2</v>
      </c>
      <c r="N3">
        <v>4.2515725964683559E-3</v>
      </c>
      <c r="O3">
        <v>5.9895171311218041E-3</v>
      </c>
      <c r="P3">
        <v>7.4874675566198425E-3</v>
      </c>
      <c r="Q3">
        <v>2.7492881042666568E-2</v>
      </c>
      <c r="R3">
        <v>2.2412005837393275E-2</v>
      </c>
      <c r="S3">
        <v>3.3828506963563175E-2</v>
      </c>
      <c r="T3">
        <v>3.9508030655126623E-3</v>
      </c>
      <c r="U3">
        <v>1.9884803813541934E-3</v>
      </c>
      <c r="V3">
        <v>4.4632422554528417E-4</v>
      </c>
      <c r="W3">
        <v>2.2036874117247103E-4</v>
      </c>
      <c r="X3">
        <v>4.9247409188177629E-4</v>
      </c>
      <c r="Y3">
        <v>0.12501889252175169</v>
      </c>
      <c r="Z3">
        <v>2.7052807766394442E-4</v>
      </c>
      <c r="AA3">
        <v>2.3208669426651437E-4</v>
      </c>
      <c r="AB3">
        <v>1.0051197468115231E-3</v>
      </c>
      <c r="AC3">
        <v>5.2827374165018333E-4</v>
      </c>
      <c r="AD3">
        <v>1.2841568186031302E-3</v>
      </c>
      <c r="AE3">
        <v>2.5040167224462653E-4</v>
      </c>
      <c r="AF3">
        <v>2.3463175807398755E-4</v>
      </c>
      <c r="AG3">
        <v>1.860196957871409E-4</v>
      </c>
      <c r="AH3">
        <v>1.5428423645888483E-2</v>
      </c>
      <c r="AI3">
        <v>3.3489205624853073E-4</v>
      </c>
      <c r="AJ3">
        <v>1.0264827028820445E-3</v>
      </c>
      <c r="AK3">
        <v>1.2136702026907309E-2</v>
      </c>
      <c r="AL3">
        <v>7.6810984802461494E-4</v>
      </c>
      <c r="AM3">
        <v>3.7709040228718941E-4</v>
      </c>
      <c r="AN3">
        <v>1.9277684724575933E-3</v>
      </c>
      <c r="AO3">
        <v>2.3809596037382023E-4</v>
      </c>
      <c r="AP3">
        <v>2.8998960916242872E-4</v>
      </c>
      <c r="AQ3">
        <v>2.2567616608269942E-4</v>
      </c>
    </row>
    <row r="4" spans="1:43" x14ac:dyDescent="0.25">
      <c r="A4" t="s">
        <v>2</v>
      </c>
      <c r="B4">
        <v>9.5705530180140407E-3</v>
      </c>
      <c r="C4">
        <v>3.7637913023636324E-2</v>
      </c>
      <c r="D4">
        <v>2.1318295012017617E-2</v>
      </c>
      <c r="E4">
        <v>1.0879622321113094E-3</v>
      </c>
      <c r="F4">
        <v>5.980937844247834E-5</v>
      </c>
      <c r="G4">
        <v>5.1920075576367258E-5</v>
      </c>
      <c r="H4">
        <v>1.8761003100334927E-3</v>
      </c>
      <c r="I4">
        <v>1.054182786373868E-3</v>
      </c>
      <c r="J4">
        <v>3.4326865489728265E-4</v>
      </c>
      <c r="K4">
        <v>5.1669460553073971E-3</v>
      </c>
      <c r="L4">
        <v>4.0724729996342689E-4</v>
      </c>
      <c r="M4">
        <v>1.460574104422556E-3</v>
      </c>
      <c r="N4">
        <v>3.7616631052382138E-4</v>
      </c>
      <c r="O4">
        <v>4.7290666053551245E-4</v>
      </c>
      <c r="P4">
        <v>2.7075488385971106E-4</v>
      </c>
      <c r="Q4">
        <v>9.4719406159552919E-4</v>
      </c>
      <c r="R4">
        <v>3.7634132223188981E-5</v>
      </c>
      <c r="S4">
        <v>1.1947176626345199E-4</v>
      </c>
      <c r="T4">
        <v>2.0580675297388012E-3</v>
      </c>
      <c r="U4">
        <v>2.6655485099591741E-4</v>
      </c>
      <c r="V4">
        <v>2.9226786731192909E-3</v>
      </c>
      <c r="W4">
        <v>0</v>
      </c>
      <c r="X4">
        <v>6.8615476193337657E-3</v>
      </c>
      <c r="Y4">
        <v>4.0977733084861662E-3</v>
      </c>
      <c r="Z4">
        <v>1.3508835172001411E-5</v>
      </c>
      <c r="AA4">
        <v>8.7707419618476375E-6</v>
      </c>
      <c r="AB4">
        <v>5.5107151404818981E-6</v>
      </c>
      <c r="AC4">
        <v>2.4687766310368389E-4</v>
      </c>
      <c r="AD4">
        <v>1.0093899494724027E-2</v>
      </c>
      <c r="AE4">
        <v>0.10399841533720212</v>
      </c>
      <c r="AF4">
        <v>3.0361045048690743E-8</v>
      </c>
      <c r="AG4">
        <v>3.0267862721591505E-7</v>
      </c>
      <c r="AH4">
        <v>6.3312904136960182E-4</v>
      </c>
      <c r="AI4">
        <v>7.987984799998961E-7</v>
      </c>
      <c r="AJ4">
        <v>3.0532419014847105E-6</v>
      </c>
      <c r="AK4">
        <v>3.8102517513917076E-6</v>
      </c>
      <c r="AL4">
        <v>3.3826344040024528E-5</v>
      </c>
      <c r="AM4">
        <v>7.5818863453048252E-6</v>
      </c>
      <c r="AN4">
        <v>5.6142086727254039E-5</v>
      </c>
      <c r="AO4">
        <v>1.0135089910016096E-6</v>
      </c>
      <c r="AP4">
        <v>9.7101078865531816E-6</v>
      </c>
      <c r="AQ4">
        <v>1.4160663372565083E-6</v>
      </c>
    </row>
    <row r="5" spans="1:43" x14ac:dyDescent="0.25">
      <c r="A5" t="s">
        <v>3</v>
      </c>
      <c r="B5">
        <v>4.3897232034330273E-3</v>
      </c>
      <c r="C5">
        <v>2.9155994211297843E-3</v>
      </c>
      <c r="D5">
        <v>4.0483898368584214E-3</v>
      </c>
      <c r="E5">
        <v>0.12150186992964759</v>
      </c>
      <c r="F5">
        <v>3.8982757032871205E-3</v>
      </c>
      <c r="G5">
        <v>6.6725675582006132E-3</v>
      </c>
      <c r="H5">
        <v>4.2167531437137173E-3</v>
      </c>
      <c r="I5">
        <v>2.8727537865268758E-3</v>
      </c>
      <c r="J5">
        <v>1.6010812386907771E-3</v>
      </c>
      <c r="K5">
        <v>1.2808846522817116E-2</v>
      </c>
      <c r="L5">
        <v>5.8133900793616135E-3</v>
      </c>
      <c r="M5">
        <v>3.3063095878558793E-3</v>
      </c>
      <c r="N5">
        <v>5.4259136041741986E-3</v>
      </c>
      <c r="O5">
        <v>3.8394940755124558E-3</v>
      </c>
      <c r="P5">
        <v>3.4413067206248904E-3</v>
      </c>
      <c r="Q5">
        <v>4.110152416828371E-3</v>
      </c>
      <c r="R5">
        <v>5.6055893333010458E-3</v>
      </c>
      <c r="S5">
        <v>2.6234977394703402E-3</v>
      </c>
      <c r="T5">
        <v>2.9330693576525083E-3</v>
      </c>
      <c r="U5">
        <v>2.2783334070221686E-3</v>
      </c>
      <c r="V5">
        <v>4.88083780468258E-3</v>
      </c>
      <c r="W5">
        <v>3.3798217698593298E-3</v>
      </c>
      <c r="X5">
        <v>9.6178636865491916E-3</v>
      </c>
      <c r="Y5">
        <v>3.5161673094883448E-3</v>
      </c>
      <c r="Z5">
        <v>1.7337777948849586E-3</v>
      </c>
      <c r="AA5">
        <v>5.9315780617534581E-3</v>
      </c>
      <c r="AB5">
        <v>0.25667978037703487</v>
      </c>
      <c r="AC5">
        <v>9.8942230391047312E-2</v>
      </c>
      <c r="AD5">
        <v>1.7508068825709704E-3</v>
      </c>
      <c r="AE5">
        <v>1.3017211747117384E-3</v>
      </c>
      <c r="AF5">
        <v>4.7335419199524805E-3</v>
      </c>
      <c r="AG5">
        <v>2.6899575914499704E-3</v>
      </c>
      <c r="AH5">
        <v>2.9582900511910034E-3</v>
      </c>
      <c r="AI5">
        <v>1.2176704294588689E-2</v>
      </c>
      <c r="AJ5">
        <v>5.0904927302647014E-3</v>
      </c>
      <c r="AK5">
        <v>3.8684688106740825E-3</v>
      </c>
      <c r="AL5">
        <v>9.5686228343370358E-3</v>
      </c>
      <c r="AM5">
        <v>1.8994444091039224E-2</v>
      </c>
      <c r="AN5">
        <v>1.6169108939012605E-2</v>
      </c>
      <c r="AO5">
        <v>1.3466240796994612E-2</v>
      </c>
      <c r="AP5">
        <v>7.6249513750533779E-2</v>
      </c>
      <c r="AQ5">
        <v>3.482352429833818E-3</v>
      </c>
    </row>
    <row r="6" spans="1:43" x14ac:dyDescent="0.25">
      <c r="A6" t="s">
        <v>4</v>
      </c>
      <c r="B6">
        <v>2.7068324053703812E-4</v>
      </c>
      <c r="C6">
        <v>1.783850088197805E-3</v>
      </c>
      <c r="D6">
        <v>2.6719401003440293E-3</v>
      </c>
      <c r="E6">
        <v>2.9000380895502172E-3</v>
      </c>
      <c r="F6">
        <v>0.26275417720545186</v>
      </c>
      <c r="G6">
        <v>0.26203431293651414</v>
      </c>
      <c r="H6">
        <v>1.0056159208255866E-2</v>
      </c>
      <c r="I6">
        <v>1.8841843078171831E-2</v>
      </c>
      <c r="J6">
        <v>8.911683012100204E-5</v>
      </c>
      <c r="K6">
        <v>4.4702113572205266E-3</v>
      </c>
      <c r="L6">
        <v>3.5420057883036953E-4</v>
      </c>
      <c r="M6">
        <v>1.594965085020955E-3</v>
      </c>
      <c r="N6">
        <v>1.0443166001390628E-3</v>
      </c>
      <c r="O6">
        <v>1.8800998155061096E-3</v>
      </c>
      <c r="P6">
        <v>7.0007899832429468E-4</v>
      </c>
      <c r="Q6">
        <v>8.703135953479432E-4</v>
      </c>
      <c r="R6">
        <v>6.9387855365091449E-4</v>
      </c>
      <c r="S6">
        <v>6.4379416832473007E-4</v>
      </c>
      <c r="T6">
        <v>7.3258363993745843E-3</v>
      </c>
      <c r="U6">
        <v>1.3646032601054327E-3</v>
      </c>
      <c r="V6">
        <v>1.4368499344193243E-5</v>
      </c>
      <c r="W6">
        <v>3.5858064324623585E-6</v>
      </c>
      <c r="X6">
        <v>5.9483006676091774E-5</v>
      </c>
      <c r="Y6">
        <v>3.1966166509889154E-4</v>
      </c>
      <c r="Z6">
        <v>2.0950845263188057E-5</v>
      </c>
      <c r="AA6">
        <v>1.0866731986867223E-3</v>
      </c>
      <c r="AB6">
        <v>4.5715190513116073E-3</v>
      </c>
      <c r="AC6">
        <v>1.3126911573067311E-5</v>
      </c>
      <c r="AD6">
        <v>1.3443005750589309E-4</v>
      </c>
      <c r="AE6">
        <v>6.4326249869112062E-5</v>
      </c>
      <c r="AF6">
        <v>2.6857836987402265E-5</v>
      </c>
      <c r="AG6">
        <v>3.5031195917772895E-6</v>
      </c>
      <c r="AH6">
        <v>1.8957948030309026E-5</v>
      </c>
      <c r="AI6">
        <v>1.6343967884803706E-4</v>
      </c>
      <c r="AJ6">
        <v>3.2116847672087175E-5</v>
      </c>
      <c r="AK6">
        <v>1.8509076953052439E-3</v>
      </c>
      <c r="AL6">
        <v>2.6409551544943565E-3</v>
      </c>
      <c r="AM6">
        <v>2.8169646390859356E-3</v>
      </c>
      <c r="AN6">
        <v>1.629400062133778E-3</v>
      </c>
      <c r="AO6">
        <v>9.813595701476158E-3</v>
      </c>
      <c r="AP6">
        <v>8.1052124961587943E-4</v>
      </c>
      <c r="AQ6">
        <v>8.2842986167502766E-4</v>
      </c>
    </row>
    <row r="7" spans="1:43" x14ac:dyDescent="0.25">
      <c r="A7" t="s">
        <v>5</v>
      </c>
      <c r="B7">
        <v>3.6082018354089882E-4</v>
      </c>
      <c r="C7">
        <v>2.1698262144297059E-3</v>
      </c>
      <c r="D7">
        <v>2.62585874681211E-3</v>
      </c>
      <c r="E7">
        <v>4.0639766248757762E-4</v>
      </c>
      <c r="F7">
        <v>2.24341288946777E-3</v>
      </c>
      <c r="G7">
        <v>7.8516680337057373E-2</v>
      </c>
      <c r="H7">
        <v>6.5638627095671821E-3</v>
      </c>
      <c r="I7">
        <v>3.111417852337651E-3</v>
      </c>
      <c r="J7">
        <v>1.5187895567968828E-4</v>
      </c>
      <c r="K7">
        <v>9.2673259144031436E-4</v>
      </c>
      <c r="L7">
        <v>3.7208398113738222E-4</v>
      </c>
      <c r="M7">
        <v>7.2424797777039473E-4</v>
      </c>
      <c r="N7">
        <v>8.5861836366441457E-4</v>
      </c>
      <c r="O7">
        <v>1.0423856271347817E-3</v>
      </c>
      <c r="P7">
        <v>2.6842991518435748E-3</v>
      </c>
      <c r="Q7">
        <v>6.1746436925023767E-4</v>
      </c>
      <c r="R7">
        <v>3.3888002236324489E-4</v>
      </c>
      <c r="S7">
        <v>3.6235016684937958E-4</v>
      </c>
      <c r="T7">
        <v>8.1070003960732743E-4</v>
      </c>
      <c r="U7">
        <v>1.0285433737920405E-3</v>
      </c>
      <c r="V7">
        <v>2.1852947596012726E-4</v>
      </c>
      <c r="W7">
        <v>1.9147347001637052E-4</v>
      </c>
      <c r="X7">
        <v>7.5117871606199087E-3</v>
      </c>
      <c r="Y7">
        <v>8.3351700841740586E-4</v>
      </c>
      <c r="Z7">
        <v>2.7002699333159312E-4</v>
      </c>
      <c r="AA7">
        <v>5.5043742373507912E-4</v>
      </c>
      <c r="AB7">
        <v>3.7635698098403901E-3</v>
      </c>
      <c r="AC7">
        <v>1.0880616429251831E-4</v>
      </c>
      <c r="AD7">
        <v>1.7639822928395001E-3</v>
      </c>
      <c r="AE7">
        <v>1.1191052232839736E-3</v>
      </c>
      <c r="AF7">
        <v>2.7896073755846555E-4</v>
      </c>
      <c r="AG7">
        <v>7.1285206866230104E-4</v>
      </c>
      <c r="AH7">
        <v>8.8081002718798287E-4</v>
      </c>
      <c r="AI7">
        <v>6.5885431349659062E-3</v>
      </c>
      <c r="AJ7">
        <v>4.0138445006652005E-5</v>
      </c>
      <c r="AK7">
        <v>1.5752947490410198E-3</v>
      </c>
      <c r="AL7">
        <v>4.1829289446457911E-3</v>
      </c>
      <c r="AM7">
        <v>4.3284515628456473E-3</v>
      </c>
      <c r="AN7">
        <v>5.8017883107460322E-4</v>
      </c>
      <c r="AO7">
        <v>2.6866262575629559E-3</v>
      </c>
      <c r="AP7">
        <v>3.2979588585243032E-2</v>
      </c>
      <c r="AQ7">
        <v>1.4611356816099878E-2</v>
      </c>
    </row>
    <row r="8" spans="1:43" x14ac:dyDescent="0.25">
      <c r="A8" t="s">
        <v>6</v>
      </c>
      <c r="B8">
        <v>2.0072156676418257E-4</v>
      </c>
      <c r="C8">
        <v>1.5830963105700232E-3</v>
      </c>
      <c r="D8">
        <v>4.7664185975673388E-4</v>
      </c>
      <c r="E8">
        <v>2.3389649008691366E-4</v>
      </c>
      <c r="F8">
        <v>4.7899816141684816E-4</v>
      </c>
      <c r="G8">
        <v>5.6208980236771696E-4</v>
      </c>
      <c r="H8">
        <v>0.22954136411851597</v>
      </c>
      <c r="I8">
        <v>1.2130993109743608E-2</v>
      </c>
      <c r="J8">
        <v>2.410261721229399E-4</v>
      </c>
      <c r="K8">
        <v>7.2086119348358673E-4</v>
      </c>
      <c r="L8">
        <v>1.210171860061859E-4</v>
      </c>
      <c r="M8">
        <v>5.4029033327036144E-3</v>
      </c>
      <c r="N8">
        <v>1.3444802594050234E-3</v>
      </c>
      <c r="O8">
        <v>1.213816465300475E-3</v>
      </c>
      <c r="P8">
        <v>5.3582047376354172E-3</v>
      </c>
      <c r="Q8">
        <v>9.3873206245638084E-4</v>
      </c>
      <c r="R8">
        <v>4.2396353595288734E-4</v>
      </c>
      <c r="S8">
        <v>3.4158337226191863E-3</v>
      </c>
      <c r="T8">
        <v>6.1568427619889928E-3</v>
      </c>
      <c r="U8">
        <v>1.0388465113777628E-3</v>
      </c>
      <c r="V8">
        <v>2.2947946457916931E-4</v>
      </c>
      <c r="W8">
        <v>3.8237023190624951E-5</v>
      </c>
      <c r="X8">
        <v>2.9432378820987018E-4</v>
      </c>
      <c r="Y8">
        <v>2.2642868753418203E-2</v>
      </c>
      <c r="Z8">
        <v>1.098442663584439E-4</v>
      </c>
      <c r="AA8">
        <v>4.1983194150556227E-4</v>
      </c>
      <c r="AB8">
        <v>1.0057836027331667E-3</v>
      </c>
      <c r="AC8">
        <v>7.5858470194033612E-4</v>
      </c>
      <c r="AD8">
        <v>1.4504382805787953E-2</v>
      </c>
      <c r="AE8">
        <v>6.9670102802296178E-5</v>
      </c>
      <c r="AF8">
        <v>7.2887065422473993E-5</v>
      </c>
      <c r="AG8">
        <v>1.0009011625585522E-4</v>
      </c>
      <c r="AH8">
        <v>2.3362875963606593E-4</v>
      </c>
      <c r="AI8">
        <v>1.4179503793991768E-4</v>
      </c>
      <c r="AJ8">
        <v>2.0547171720887078E-5</v>
      </c>
      <c r="AK8">
        <v>9.278454816036702E-3</v>
      </c>
      <c r="AL8">
        <v>4.0040588820736672E-3</v>
      </c>
      <c r="AM8">
        <v>1.2256647962450376E-3</v>
      </c>
      <c r="AN8">
        <v>9.9934403982899551E-5</v>
      </c>
      <c r="AO8">
        <v>6.1933098975330424E-4</v>
      </c>
      <c r="AP8">
        <v>9.320636784732599E-4</v>
      </c>
      <c r="AQ8">
        <v>7.299106230996744E-3</v>
      </c>
    </row>
    <row r="9" spans="1:43" x14ac:dyDescent="0.25">
      <c r="A9" t="s">
        <v>7</v>
      </c>
      <c r="B9">
        <v>1.6950036221365442E-3</v>
      </c>
      <c r="C9">
        <v>1.09786552102252E-2</v>
      </c>
      <c r="D9">
        <v>2.450171145191369E-3</v>
      </c>
      <c r="E9">
        <v>1.2314186425950108E-2</v>
      </c>
      <c r="F9">
        <v>5.1396173372172359E-3</v>
      </c>
      <c r="G9">
        <v>8.9431360632328694E-3</v>
      </c>
      <c r="H9">
        <v>9.9432910001276183E-3</v>
      </c>
      <c r="I9">
        <v>0.14444638527524731</v>
      </c>
      <c r="J9">
        <v>3.9185990316880254E-4</v>
      </c>
      <c r="K9">
        <v>7.0099334846856947E-3</v>
      </c>
      <c r="L9">
        <v>9.6378936007709048E-4</v>
      </c>
      <c r="M9">
        <v>4.2136732048708471E-3</v>
      </c>
      <c r="N9">
        <v>4.0878939956779667E-3</v>
      </c>
      <c r="O9">
        <v>4.1150378156875785E-3</v>
      </c>
      <c r="P9">
        <v>1.6868170110788958E-3</v>
      </c>
      <c r="Q9">
        <v>3.9472552382487369E-3</v>
      </c>
      <c r="R9">
        <v>3.1889986080171329E-3</v>
      </c>
      <c r="S9">
        <v>3.2388707522213243E-3</v>
      </c>
      <c r="T9">
        <v>3.8411896902289153E-3</v>
      </c>
      <c r="U9">
        <v>1.7390091263110201E-3</v>
      </c>
      <c r="V9">
        <v>9.1084231009408011E-4</v>
      </c>
      <c r="W9">
        <v>5.3424403122667653E-4</v>
      </c>
      <c r="X9">
        <v>1.0342561885880567E-3</v>
      </c>
      <c r="Y9">
        <v>1.6746716531118471E-3</v>
      </c>
      <c r="Z9">
        <v>3.764301285790625E-3</v>
      </c>
      <c r="AA9">
        <v>9.5831248354584682E-3</v>
      </c>
      <c r="AB9">
        <v>4.8820700087436235E-3</v>
      </c>
      <c r="AC9">
        <v>7.9718513253245469E-4</v>
      </c>
      <c r="AD9">
        <v>1.1414126917360435E-3</v>
      </c>
      <c r="AE9">
        <v>8.0898741674511286E-4</v>
      </c>
      <c r="AF9">
        <v>1.633403760699996E-2</v>
      </c>
      <c r="AG9">
        <v>1.2782674845554299E-2</v>
      </c>
      <c r="AH9">
        <v>1.1750243946585259E-3</v>
      </c>
      <c r="AI9">
        <v>4.0206542997845249E-2</v>
      </c>
      <c r="AJ9">
        <v>2.9006846770182055E-3</v>
      </c>
      <c r="AK9">
        <v>1.2715364772486679E-2</v>
      </c>
      <c r="AL9">
        <v>1.782699540220087E-3</v>
      </c>
      <c r="AM9">
        <v>8.5199047927185852E-3</v>
      </c>
      <c r="AN9">
        <v>2.1232324864923456E-2</v>
      </c>
      <c r="AO9">
        <v>4.07809768556853E-3</v>
      </c>
      <c r="AP9">
        <v>4.008465669274263E-2</v>
      </c>
      <c r="AQ9">
        <v>1.4452169861119355E-2</v>
      </c>
    </row>
    <row r="10" spans="1:43" x14ac:dyDescent="0.25">
      <c r="A10" t="s">
        <v>8</v>
      </c>
      <c r="B10">
        <v>4.0255696956749784E-2</v>
      </c>
      <c r="C10">
        <v>2.4114960205888502E-2</v>
      </c>
      <c r="D10">
        <v>6.8812237550164343E-2</v>
      </c>
      <c r="E10">
        <v>1.4011831822241302E-3</v>
      </c>
      <c r="F10">
        <v>2.1411904129276542E-3</v>
      </c>
      <c r="G10">
        <v>1.3126757703605242E-3</v>
      </c>
      <c r="H10">
        <v>4.7699184778294953E-3</v>
      </c>
      <c r="I10">
        <v>2.415349761140659E-3</v>
      </c>
      <c r="J10">
        <v>1.5637160230626571E-2</v>
      </c>
      <c r="K10">
        <v>4.4483345330867806E-2</v>
      </c>
      <c r="L10">
        <v>5.1148960933691201E-2</v>
      </c>
      <c r="M10">
        <v>9.1699578854889299E-3</v>
      </c>
      <c r="N10">
        <v>3.7428007462320602E-3</v>
      </c>
      <c r="O10">
        <v>2.0561915846327066E-3</v>
      </c>
      <c r="P10">
        <v>1.5451807549557866E-3</v>
      </c>
      <c r="Q10">
        <v>2.0153820763870803E-3</v>
      </c>
      <c r="R10">
        <v>4.6225112043633484E-4</v>
      </c>
      <c r="S10">
        <v>1.2834591243149869E-3</v>
      </c>
      <c r="T10">
        <v>1.0217289562725594E-2</v>
      </c>
      <c r="U10">
        <v>4.8904948702177559E-3</v>
      </c>
      <c r="V10">
        <v>8.2567818348167205E-3</v>
      </c>
      <c r="W10">
        <v>7.7917442911080697E-3</v>
      </c>
      <c r="X10">
        <v>5.0034270953161998E-3</v>
      </c>
      <c r="Y10">
        <v>1.1679108764806101E-2</v>
      </c>
      <c r="Z10">
        <v>2.2417576144697186E-3</v>
      </c>
      <c r="AA10">
        <v>9.5943887622900931E-2</v>
      </c>
      <c r="AB10">
        <v>1.6633775391862728E-3</v>
      </c>
      <c r="AC10">
        <v>6.5316017599124018E-3</v>
      </c>
      <c r="AD10">
        <v>3.7002017528610675E-3</v>
      </c>
      <c r="AE10">
        <v>8.7717471561604677E-4</v>
      </c>
      <c r="AF10">
        <v>5.2959060241480481E-4</v>
      </c>
      <c r="AG10">
        <v>3.9688392739066909E-4</v>
      </c>
      <c r="AH10">
        <v>4.1637431383652324E-4</v>
      </c>
      <c r="AI10">
        <v>2.7181176255602093E-2</v>
      </c>
      <c r="AJ10">
        <v>5.8325436026274726E-5</v>
      </c>
      <c r="AK10">
        <v>1.7916994327135411E-2</v>
      </c>
      <c r="AL10">
        <v>1.195016221936477E-2</v>
      </c>
      <c r="AM10">
        <v>5.745757922158084E-3</v>
      </c>
      <c r="AN10">
        <v>1.874635691164007E-3</v>
      </c>
      <c r="AO10">
        <v>5.4319242715915187E-4</v>
      </c>
      <c r="AP10">
        <v>3.1331560131816118E-3</v>
      </c>
      <c r="AQ10">
        <v>6.1510643998988887E-3</v>
      </c>
    </row>
    <row r="11" spans="1:43" x14ac:dyDescent="0.25">
      <c r="A11" t="s">
        <v>9</v>
      </c>
      <c r="B11">
        <v>3.4552857881116596E-2</v>
      </c>
      <c r="C11">
        <v>7.3845523180381206E-2</v>
      </c>
      <c r="D11">
        <v>0.10556756770926183</v>
      </c>
      <c r="E11">
        <v>1.8109390064459021E-2</v>
      </c>
      <c r="F11">
        <v>0.18491312769801577</v>
      </c>
      <c r="G11">
        <v>6.6822415386102937E-2</v>
      </c>
      <c r="H11">
        <v>4.7349983053840167E-2</v>
      </c>
      <c r="I11">
        <v>0.10022104630572704</v>
      </c>
      <c r="J11">
        <v>1.3739807408171909E-2</v>
      </c>
      <c r="K11">
        <v>0.30953839416763085</v>
      </c>
      <c r="L11">
        <v>1.2088230531166266E-2</v>
      </c>
      <c r="M11">
        <v>3.0920786411868403E-2</v>
      </c>
      <c r="N11">
        <v>2.2291321158368915E-2</v>
      </c>
      <c r="O11">
        <v>3.4527349611211844E-2</v>
      </c>
      <c r="P11">
        <v>3.2139187839382195E-2</v>
      </c>
      <c r="Q11">
        <v>8.2736026036090579E-2</v>
      </c>
      <c r="R11">
        <v>3.1398282544104671E-2</v>
      </c>
      <c r="S11">
        <v>4.0935911805242878E-2</v>
      </c>
      <c r="T11">
        <v>4.659008475131303E-2</v>
      </c>
      <c r="U11">
        <v>1.855944611300395E-2</v>
      </c>
      <c r="V11">
        <v>6.1993189276760723E-4</v>
      </c>
      <c r="W11">
        <v>3.9149025936405647E-4</v>
      </c>
      <c r="X11">
        <v>9.441956151836392E-2</v>
      </c>
      <c r="Y11">
        <v>2.5071250345749203E-2</v>
      </c>
      <c r="Z11">
        <v>6.642320782996033E-4</v>
      </c>
      <c r="AA11">
        <v>9.7903314764921593E-3</v>
      </c>
      <c r="AB11">
        <v>1.1116290304446531E-2</v>
      </c>
      <c r="AC11">
        <v>6.3010844412751843E-2</v>
      </c>
      <c r="AD11">
        <v>1.1536580245962658E-2</v>
      </c>
      <c r="AE11">
        <v>5.6115617200914588E-3</v>
      </c>
      <c r="AF11">
        <v>1.6326331271181189E-3</v>
      </c>
      <c r="AG11">
        <v>7.5822931968241045E-5</v>
      </c>
      <c r="AH11">
        <v>1.6443174814500842E-3</v>
      </c>
      <c r="AI11">
        <v>3.203591931876562E-3</v>
      </c>
      <c r="AJ11">
        <v>2.6785342260996027E-2</v>
      </c>
      <c r="AK11">
        <v>2.2561732025048426E-2</v>
      </c>
      <c r="AL11">
        <v>5.5836248249535626E-2</v>
      </c>
      <c r="AM11">
        <v>4.7861298714780377E-2</v>
      </c>
      <c r="AN11">
        <v>3.4877145990756648E-3</v>
      </c>
      <c r="AO11">
        <v>0.20495889736760842</v>
      </c>
      <c r="AP11">
        <v>8.6389876363703842E-3</v>
      </c>
      <c r="AQ11">
        <v>2.1932989962672824E-3</v>
      </c>
    </row>
    <row r="12" spans="1:43" x14ac:dyDescent="0.25">
      <c r="A12" t="s">
        <v>10</v>
      </c>
      <c r="B12">
        <v>4.389230043060419E-3</v>
      </c>
      <c r="C12">
        <v>4.8827625605131396E-2</v>
      </c>
      <c r="D12">
        <v>1.8623855200227732E-2</v>
      </c>
      <c r="E12">
        <v>2.8594785626616474E-4</v>
      </c>
      <c r="F12">
        <v>2.8406131355422589E-3</v>
      </c>
      <c r="G12">
        <v>9.0227396217705373E-4</v>
      </c>
      <c r="H12">
        <v>1.324074339262314E-2</v>
      </c>
      <c r="I12">
        <v>4.1665557954959874E-2</v>
      </c>
      <c r="J12">
        <v>2.7071757270226199E-4</v>
      </c>
      <c r="K12">
        <v>9.3094931521131175E-3</v>
      </c>
      <c r="L12">
        <v>0.25121878003656434</v>
      </c>
      <c r="M12">
        <v>0.30455428239729321</v>
      </c>
      <c r="N12">
        <v>0.14893460264782818</v>
      </c>
      <c r="O12">
        <v>8.6959369006895326E-2</v>
      </c>
      <c r="P12">
        <v>6.9814431537853383E-2</v>
      </c>
      <c r="Q12">
        <v>0.17594719077780066</v>
      </c>
      <c r="R12">
        <v>2.4060007394104608E-2</v>
      </c>
      <c r="S12">
        <v>3.917694530371621E-2</v>
      </c>
      <c r="T12">
        <v>1.999261313531539E-2</v>
      </c>
      <c r="U12">
        <v>0.1106235079514033</v>
      </c>
      <c r="V12">
        <v>2.1483182085101221E-4</v>
      </c>
      <c r="W12">
        <v>4.5615774522308978E-4</v>
      </c>
      <c r="X12">
        <v>4.2757390191041213E-4</v>
      </c>
      <c r="Y12">
        <v>8.8436564520287628E-2</v>
      </c>
      <c r="Z12">
        <v>1.7106305176379859E-5</v>
      </c>
      <c r="AA12">
        <v>3.1724482109131137E-5</v>
      </c>
      <c r="AB12">
        <v>8.4989457050485673E-6</v>
      </c>
      <c r="AC12">
        <v>8.931150213823708E-4</v>
      </c>
      <c r="AD12">
        <v>2.1830574033621257E-2</v>
      </c>
      <c r="AE12">
        <v>1.0601433968909766E-3</v>
      </c>
      <c r="AF12">
        <v>5.3530374230833025E-8</v>
      </c>
      <c r="AG12">
        <v>2.030086699998008E-8</v>
      </c>
      <c r="AH12">
        <v>7.1343949773163408E-4</v>
      </c>
      <c r="AI12">
        <v>1.0117110085219648E-5</v>
      </c>
      <c r="AJ12">
        <v>8.1663714669358213E-4</v>
      </c>
      <c r="AK12">
        <v>3.5098635270797902E-3</v>
      </c>
      <c r="AL12">
        <v>4.9308648044991705E-4</v>
      </c>
      <c r="AM12">
        <v>6.1615738465258817E-5</v>
      </c>
      <c r="AN12">
        <v>1.1024067947198847E-4</v>
      </c>
      <c r="AO12">
        <v>2.9378531300851843E-7</v>
      </c>
      <c r="AP12">
        <v>1.5444083478376829E-5</v>
      </c>
      <c r="AQ12">
        <v>2.0677107111343342E-7</v>
      </c>
    </row>
    <row r="13" spans="1:43" x14ac:dyDescent="0.25">
      <c r="A13" t="s">
        <v>11</v>
      </c>
      <c r="B13">
        <v>1.3768580702306878E-2</v>
      </c>
      <c r="C13">
        <v>1.0665488485083511E-2</v>
      </c>
      <c r="D13">
        <v>2.4040707552717012E-2</v>
      </c>
      <c r="E13">
        <v>2.3551823705010339E-3</v>
      </c>
      <c r="F13">
        <v>2.8751525054298436E-3</v>
      </c>
      <c r="G13">
        <v>2.5182690008157581E-3</v>
      </c>
      <c r="H13">
        <v>1.3766782281967841E-2</v>
      </c>
      <c r="I13">
        <v>4.8899080439289387E-3</v>
      </c>
      <c r="J13">
        <v>5.2789904616779438E-4</v>
      </c>
      <c r="K13">
        <v>4.3635194824846579E-3</v>
      </c>
      <c r="L13">
        <v>2.8901821633894858E-3</v>
      </c>
      <c r="M13">
        <v>0.14876545099944252</v>
      </c>
      <c r="N13">
        <v>5.8160616192115364E-2</v>
      </c>
      <c r="O13">
        <v>4.3158035879489187E-2</v>
      </c>
      <c r="P13">
        <v>1.9348304048611861E-2</v>
      </c>
      <c r="Q13">
        <v>4.2494897257626271E-2</v>
      </c>
      <c r="R13">
        <v>5.7413427833786241E-3</v>
      </c>
      <c r="S13">
        <v>2.0283441697097657E-2</v>
      </c>
      <c r="T13">
        <v>8.3874204395783334E-3</v>
      </c>
      <c r="U13">
        <v>1.7047340338138824E-2</v>
      </c>
      <c r="V13">
        <v>1.0308165588500365E-3</v>
      </c>
      <c r="W13">
        <v>1.0486550779305963E-3</v>
      </c>
      <c r="X13">
        <v>5.1820078705785916E-3</v>
      </c>
      <c r="Y13">
        <v>5.3918072275910056E-2</v>
      </c>
      <c r="Z13">
        <v>6.1209017880555763E-5</v>
      </c>
      <c r="AA13">
        <v>5.1213428109553175E-4</v>
      </c>
      <c r="AB13">
        <v>2.2328898647348537E-3</v>
      </c>
      <c r="AC13">
        <v>1.0612711090191298E-3</v>
      </c>
      <c r="AD13">
        <v>2.3789520282691736E-2</v>
      </c>
      <c r="AE13">
        <v>1.1211374556671385E-3</v>
      </c>
      <c r="AF13">
        <v>1.3864879736771453E-3</v>
      </c>
      <c r="AG13">
        <v>5.3156421644379411E-6</v>
      </c>
      <c r="AH13">
        <v>2.1664280277653649E-3</v>
      </c>
      <c r="AI13">
        <v>3.9553448691841148E-3</v>
      </c>
      <c r="AJ13">
        <v>7.5919657956143513E-3</v>
      </c>
      <c r="AK13">
        <v>3.8948854620155508E-2</v>
      </c>
      <c r="AL13">
        <v>9.0805479053399241E-3</v>
      </c>
      <c r="AM13">
        <v>1.5789653437127998E-2</v>
      </c>
      <c r="AN13">
        <v>2.3855754735321805E-3</v>
      </c>
      <c r="AO13">
        <v>2.2465316553005022E-3</v>
      </c>
      <c r="AP13">
        <v>2.1154473167176277E-3</v>
      </c>
      <c r="AQ13">
        <v>1.1147878030169851E-3</v>
      </c>
    </row>
    <row r="14" spans="1:43" x14ac:dyDescent="0.25">
      <c r="A14" t="s">
        <v>12</v>
      </c>
      <c r="B14">
        <v>5.9879936350252317E-3</v>
      </c>
      <c r="C14">
        <v>1.5688467909495019E-2</v>
      </c>
      <c r="D14">
        <v>1.4068125769602249E-2</v>
      </c>
      <c r="E14">
        <v>1.1181960151898092E-3</v>
      </c>
      <c r="F14">
        <v>2.2010591409736156E-3</v>
      </c>
      <c r="G14">
        <v>1.0032196576542113E-3</v>
      </c>
      <c r="H14">
        <v>5.5124936985685904E-3</v>
      </c>
      <c r="I14">
        <v>3.6388212118639526E-3</v>
      </c>
      <c r="J14">
        <v>9.8755779607258092E-4</v>
      </c>
      <c r="K14">
        <v>3.5672724695633689E-3</v>
      </c>
      <c r="L14">
        <v>6.4669705743439854E-3</v>
      </c>
      <c r="M14">
        <v>2.2742529458098008E-2</v>
      </c>
      <c r="N14">
        <v>0.19177727930143754</v>
      </c>
      <c r="O14">
        <v>9.2425485371269531E-2</v>
      </c>
      <c r="P14">
        <v>3.8960469978468193E-2</v>
      </c>
      <c r="Q14">
        <v>3.1232813106916488E-2</v>
      </c>
      <c r="R14">
        <v>7.0038848651192784E-3</v>
      </c>
      <c r="S14">
        <v>2.3343365527534042E-2</v>
      </c>
      <c r="T14">
        <v>5.9894589630445421E-3</v>
      </c>
      <c r="U14">
        <v>3.4864371030514249E-2</v>
      </c>
      <c r="V14">
        <v>2.2426779495784851E-3</v>
      </c>
      <c r="W14">
        <v>1.3420391967217118E-4</v>
      </c>
      <c r="X14">
        <v>5.148563128676821E-3</v>
      </c>
      <c r="Y14">
        <v>1.2662728639493878E-2</v>
      </c>
      <c r="Z14">
        <v>1.5441677692775951E-4</v>
      </c>
      <c r="AA14">
        <v>3.3652546361485468E-3</v>
      </c>
      <c r="AB14">
        <v>1.464390163386091E-3</v>
      </c>
      <c r="AC14">
        <v>4.2926318991617392E-4</v>
      </c>
      <c r="AD14">
        <v>8.6913272502464646E-3</v>
      </c>
      <c r="AE14">
        <v>5.643701787433384E-4</v>
      </c>
      <c r="AF14">
        <v>1.5889088513743987E-3</v>
      </c>
      <c r="AG14">
        <v>1.0552398375381363E-4</v>
      </c>
      <c r="AH14">
        <v>5.657166451497302E-5</v>
      </c>
      <c r="AI14">
        <v>2.0631548562569635E-3</v>
      </c>
      <c r="AJ14">
        <v>2.0647532486897644E-3</v>
      </c>
      <c r="AK14">
        <v>9.5137549098926586E-5</v>
      </c>
      <c r="AL14">
        <v>1.0453694500985227E-3</v>
      </c>
      <c r="AM14">
        <v>2.8118158769151161E-3</v>
      </c>
      <c r="AN14">
        <v>7.2453008221665029E-4</v>
      </c>
      <c r="AO14">
        <v>2.7642070274174979E-5</v>
      </c>
      <c r="AP14">
        <v>8.0073539091505132E-4</v>
      </c>
      <c r="AQ14">
        <v>2.0891808924934168E-3</v>
      </c>
    </row>
    <row r="15" spans="1:43" x14ac:dyDescent="0.25">
      <c r="A15" t="s">
        <v>13</v>
      </c>
      <c r="B15">
        <v>1.3161034164073451E-2</v>
      </c>
      <c r="C15">
        <v>3.6611734170006499E-3</v>
      </c>
      <c r="D15">
        <v>4.632535399654663E-2</v>
      </c>
      <c r="E15">
        <v>1.0634949145634854E-3</v>
      </c>
      <c r="F15">
        <v>5.3417684924416484E-3</v>
      </c>
      <c r="G15">
        <v>6.403402895497113E-3</v>
      </c>
      <c r="H15">
        <v>6.0706645037934531E-3</v>
      </c>
      <c r="I15">
        <v>1.0544889943347849E-2</v>
      </c>
      <c r="J15">
        <v>3.2101729987151872E-4</v>
      </c>
      <c r="K15">
        <v>2.2747804549569047E-3</v>
      </c>
      <c r="L15">
        <v>3.8863901198805044E-3</v>
      </c>
      <c r="M15">
        <v>8.5229809365568975E-3</v>
      </c>
      <c r="N15">
        <v>9.4595485016538989E-3</v>
      </c>
      <c r="O15">
        <v>0.10301115654471607</v>
      </c>
      <c r="P15">
        <v>5.4516566535928864E-3</v>
      </c>
      <c r="Q15">
        <v>9.226561709349667E-3</v>
      </c>
      <c r="R15">
        <v>1.8301006288337539E-2</v>
      </c>
      <c r="S15">
        <v>1.4769721850459928E-2</v>
      </c>
      <c r="T15">
        <v>3.1319665059917376E-3</v>
      </c>
      <c r="U15">
        <v>1.4913623712614057E-2</v>
      </c>
      <c r="V15">
        <v>3.0016080012318852E-4</v>
      </c>
      <c r="W15">
        <v>4.9677544919189904E-6</v>
      </c>
      <c r="X15">
        <v>5.5893819714343453E-3</v>
      </c>
      <c r="Y15">
        <v>8.3024103882075005E-3</v>
      </c>
      <c r="Z15">
        <v>2.6951007529890245E-5</v>
      </c>
      <c r="AA15">
        <v>4.1883833774351517E-4</v>
      </c>
      <c r="AB15">
        <v>2.7489670181868022E-4</v>
      </c>
      <c r="AC15">
        <v>3.5246747431470289E-3</v>
      </c>
      <c r="AD15">
        <v>1.6005806937218779E-2</v>
      </c>
      <c r="AE15">
        <v>9.0710793721443198E-3</v>
      </c>
      <c r="AF15">
        <v>2.7131210490807984E-6</v>
      </c>
      <c r="AG15">
        <v>3.5903214672640768E-4</v>
      </c>
      <c r="AH15">
        <v>9.3182807751837209E-5</v>
      </c>
      <c r="AI15">
        <v>8.9358516605677642E-4</v>
      </c>
      <c r="AJ15">
        <v>3.4219136365566823E-4</v>
      </c>
      <c r="AK15">
        <v>4.9566606114588019E-3</v>
      </c>
      <c r="AL15">
        <v>3.3727579912851365E-3</v>
      </c>
      <c r="AM15">
        <v>1.2443019025820154E-3</v>
      </c>
      <c r="AN15">
        <v>2.9720033105696292E-5</v>
      </c>
      <c r="AO15">
        <v>3.0330636731829532E-2</v>
      </c>
      <c r="AP15">
        <v>4.6693273191935858E-5</v>
      </c>
      <c r="AQ15">
        <v>3.9734385429075587E-5</v>
      </c>
    </row>
    <row r="16" spans="1:43" x14ac:dyDescent="0.25">
      <c r="A16" t="s">
        <v>14</v>
      </c>
      <c r="B16">
        <v>8.8048743365607308E-4</v>
      </c>
      <c r="C16">
        <v>2.4664873980258951E-3</v>
      </c>
      <c r="D16">
        <v>3.0880388687064483E-3</v>
      </c>
      <c r="E16">
        <v>4.4721431783807154E-4</v>
      </c>
      <c r="F16">
        <v>6.1615021075524755E-4</v>
      </c>
      <c r="G16">
        <v>4.2738268353986633E-4</v>
      </c>
      <c r="H16">
        <v>7.4224268139223425E-4</v>
      </c>
      <c r="I16">
        <v>7.8651520883511131E-4</v>
      </c>
      <c r="J16">
        <v>3.8950731716431975E-4</v>
      </c>
      <c r="K16">
        <v>4.4660433380293437E-4</v>
      </c>
      <c r="L16">
        <v>5.3398581551013214E-4</v>
      </c>
      <c r="M16">
        <v>9.9573909746564953E-4</v>
      </c>
      <c r="N16">
        <v>6.4010684185604053E-3</v>
      </c>
      <c r="O16">
        <v>1.4902788344770903E-2</v>
      </c>
      <c r="P16">
        <v>0.3016297125971179</v>
      </c>
      <c r="Q16">
        <v>9.6159251303608285E-4</v>
      </c>
      <c r="R16">
        <v>7.8215438061001309E-4</v>
      </c>
      <c r="S16">
        <v>7.5983330630787437E-4</v>
      </c>
      <c r="T16">
        <v>4.4500454072255444E-4</v>
      </c>
      <c r="U16">
        <v>0.1246150363933672</v>
      </c>
      <c r="V16">
        <v>3.8179949333462504E-4</v>
      </c>
      <c r="W16">
        <v>4.220242800212659E-4</v>
      </c>
      <c r="X16">
        <v>4.2364799952346544E-4</v>
      </c>
      <c r="Y16">
        <v>1.0841007936637642E-3</v>
      </c>
      <c r="Z16">
        <v>4.196206560492742E-4</v>
      </c>
      <c r="AA16">
        <v>8.1737028289222427E-2</v>
      </c>
      <c r="AB16">
        <v>4.6028969088570179E-4</v>
      </c>
      <c r="AC16">
        <v>1.4754489947243958E-3</v>
      </c>
      <c r="AD16">
        <v>4.6464780627056995E-4</v>
      </c>
      <c r="AE16">
        <v>3.7663371691139605E-4</v>
      </c>
      <c r="AF16">
        <v>4.3037085933501863E-4</v>
      </c>
      <c r="AG16">
        <v>4.6249464539959827E-4</v>
      </c>
      <c r="AH16">
        <v>3.6719160528939337E-4</v>
      </c>
      <c r="AI16">
        <v>2.586747316432346E-2</v>
      </c>
      <c r="AJ16">
        <v>2.8384826984211155E-3</v>
      </c>
      <c r="AK16">
        <v>8.4172762062481674E-3</v>
      </c>
      <c r="AL16">
        <v>4.6524530211778286E-3</v>
      </c>
      <c r="AM16">
        <v>2.0567599885135391E-2</v>
      </c>
      <c r="AN16">
        <v>4.191864089786753E-4</v>
      </c>
      <c r="AO16">
        <v>9.3656421555034024E-4</v>
      </c>
      <c r="AP16">
        <v>4.7727707495478518E-4</v>
      </c>
      <c r="AQ16">
        <v>1.1283413367242433E-3</v>
      </c>
    </row>
    <row r="17" spans="1:43" x14ac:dyDescent="0.25">
      <c r="A17" t="s">
        <v>15</v>
      </c>
      <c r="B17">
        <v>2.4811531182535908E-3</v>
      </c>
      <c r="C17">
        <v>7.5015597675863752E-3</v>
      </c>
      <c r="D17">
        <v>1.2298160860742901E-2</v>
      </c>
      <c r="E17">
        <v>5.3077011788752414E-4</v>
      </c>
      <c r="F17">
        <v>9.9877625226838353E-4</v>
      </c>
      <c r="G17">
        <v>7.3327613577707181E-4</v>
      </c>
      <c r="H17">
        <v>1.8025835233431286E-3</v>
      </c>
      <c r="I17">
        <v>2.7204677267518526E-3</v>
      </c>
      <c r="J17">
        <v>1.3112879376774584E-4</v>
      </c>
      <c r="K17">
        <v>1.4810827039576948E-3</v>
      </c>
      <c r="L17">
        <v>1.7386163879345108E-3</v>
      </c>
      <c r="M17">
        <v>5.1430789035016014E-3</v>
      </c>
      <c r="N17">
        <v>4.821307158419165E-2</v>
      </c>
      <c r="O17">
        <v>4.6214085198981E-2</v>
      </c>
      <c r="P17">
        <v>4.7241310662350627E-2</v>
      </c>
      <c r="Q17">
        <v>0.15596985746266825</v>
      </c>
      <c r="R17">
        <v>3.4031704280192893E-2</v>
      </c>
      <c r="S17">
        <v>3.1606304816316447E-2</v>
      </c>
      <c r="T17">
        <v>2.596641462072528E-3</v>
      </c>
      <c r="U17">
        <v>7.6869901079729366E-2</v>
      </c>
      <c r="V17">
        <v>3.1073931725968507E-2</v>
      </c>
      <c r="W17">
        <v>2.4340130817116903E-4</v>
      </c>
      <c r="X17">
        <v>5.8450412234628795E-4</v>
      </c>
      <c r="Y17">
        <v>5.1304159196366834E-2</v>
      </c>
      <c r="Z17">
        <v>8.893818737615267E-3</v>
      </c>
      <c r="AA17">
        <v>8.6568476766922028E-3</v>
      </c>
      <c r="AB17">
        <v>4.2265262124514173E-4</v>
      </c>
      <c r="AC17">
        <v>4.6495407743343126E-4</v>
      </c>
      <c r="AD17">
        <v>2.2296142131562353E-3</v>
      </c>
      <c r="AE17">
        <v>6.5001065710057894E-4</v>
      </c>
      <c r="AF17">
        <v>1.2890732810571185E-2</v>
      </c>
      <c r="AG17">
        <v>8.4596152070867049E-5</v>
      </c>
      <c r="AH17">
        <v>1.0984275460111281E-2</v>
      </c>
      <c r="AI17">
        <v>6.6316704995384827E-3</v>
      </c>
      <c r="AJ17">
        <v>1.0258375916427793E-2</v>
      </c>
      <c r="AK17">
        <v>3.090386474108648E-2</v>
      </c>
      <c r="AL17">
        <v>8.3342197292768042E-3</v>
      </c>
      <c r="AM17">
        <v>1.840636776933122E-2</v>
      </c>
      <c r="AN17">
        <v>6.880973668152371E-5</v>
      </c>
      <c r="AO17">
        <v>6.2453708095656403E-4</v>
      </c>
      <c r="AP17">
        <v>5.0737859817260168E-4</v>
      </c>
      <c r="AQ17">
        <v>2.8206905468750477E-3</v>
      </c>
    </row>
    <row r="18" spans="1:43" x14ac:dyDescent="0.25">
      <c r="A18" t="s">
        <v>16</v>
      </c>
      <c r="B18">
        <v>1.2150246473167669E-4</v>
      </c>
      <c r="C18">
        <v>2.059702285023772E-3</v>
      </c>
      <c r="D18">
        <v>6.4085632206250338E-4</v>
      </c>
      <c r="E18">
        <v>3.4733040104315303E-4</v>
      </c>
      <c r="F18">
        <v>5.5350591090476029E-4</v>
      </c>
      <c r="G18">
        <v>8.4124857060773181E-4</v>
      </c>
      <c r="H18">
        <v>1.283786237940808E-3</v>
      </c>
      <c r="I18">
        <v>3.4299333461825922E-3</v>
      </c>
      <c r="J18">
        <v>3.2210887210760003E-5</v>
      </c>
      <c r="K18">
        <v>1.7843621806128173E-3</v>
      </c>
      <c r="L18">
        <v>5.9261080284071191E-4</v>
      </c>
      <c r="M18">
        <v>3.7867402589183302E-3</v>
      </c>
      <c r="N18">
        <v>3.4414386332656761E-2</v>
      </c>
      <c r="O18">
        <v>6.1736294807704525E-2</v>
      </c>
      <c r="P18">
        <v>3.4165673092561633E-2</v>
      </c>
      <c r="Q18">
        <v>6.5467852610544289E-2</v>
      </c>
      <c r="R18">
        <v>0.30241456640753689</v>
      </c>
      <c r="S18">
        <v>0.10896421238010037</v>
      </c>
      <c r="T18">
        <v>4.4791410939425333E-3</v>
      </c>
      <c r="U18">
        <v>1.2512562311408673E-2</v>
      </c>
      <c r="V18">
        <v>3.4355084704093829E-4</v>
      </c>
      <c r="W18">
        <v>2.6581853755193141E-5</v>
      </c>
      <c r="X18">
        <v>2.0195679394430718E-4</v>
      </c>
      <c r="Y18">
        <v>7.670649878449569E-3</v>
      </c>
      <c r="Z18">
        <v>6.1807413978740384E-3</v>
      </c>
      <c r="AA18">
        <v>2.9394791491431406E-3</v>
      </c>
      <c r="AB18">
        <v>1.3278426286271689E-3</v>
      </c>
      <c r="AC18">
        <v>1.4226654114264125E-4</v>
      </c>
      <c r="AD18">
        <v>3.3446250885229791E-4</v>
      </c>
      <c r="AE18">
        <v>1.2580905794312789E-4</v>
      </c>
      <c r="AF18">
        <v>0.11008945786722558</v>
      </c>
      <c r="AG18">
        <v>1.3447889828545187E-3</v>
      </c>
      <c r="AH18">
        <v>2.320731199019487E-3</v>
      </c>
      <c r="AI18">
        <v>3.8716396560444719E-2</v>
      </c>
      <c r="AJ18">
        <v>1.6046449416198E-2</v>
      </c>
      <c r="AK18">
        <v>3.4738944803833584E-2</v>
      </c>
      <c r="AL18">
        <v>1.9999170112754185E-3</v>
      </c>
      <c r="AM18">
        <v>3.4105497967706011E-2</v>
      </c>
      <c r="AN18">
        <v>4.0457584519490164E-3</v>
      </c>
      <c r="AO18">
        <v>2.2545390574128434E-3</v>
      </c>
      <c r="AP18">
        <v>3.927519509096037E-3</v>
      </c>
      <c r="AQ18">
        <v>2.7887782740455436E-3</v>
      </c>
    </row>
    <row r="19" spans="1:43" x14ac:dyDescent="0.25">
      <c r="A19" t="s">
        <v>17</v>
      </c>
      <c r="B19">
        <v>1.0853581410878009E-4</v>
      </c>
      <c r="C19">
        <v>1.3845136017133158E-4</v>
      </c>
      <c r="D19">
        <v>2.5196218304554935E-3</v>
      </c>
      <c r="E19">
        <v>4.1229503987715996E-5</v>
      </c>
      <c r="F19">
        <v>2.81069303756023E-4</v>
      </c>
      <c r="G19">
        <v>4.5311823049836537E-5</v>
      </c>
      <c r="H19">
        <v>7.8828248892855841E-5</v>
      </c>
      <c r="I19">
        <v>2.9563985009153855E-4</v>
      </c>
      <c r="J19">
        <v>1.863930265361556E-4</v>
      </c>
      <c r="K19">
        <v>4.389614460235095E-4</v>
      </c>
      <c r="L19">
        <v>3.2126848208561079E-4</v>
      </c>
      <c r="M19">
        <v>4.8638087486708136E-4</v>
      </c>
      <c r="N19">
        <v>5.1279544382770784E-3</v>
      </c>
      <c r="O19">
        <v>1.4268316983980678E-2</v>
      </c>
      <c r="P19">
        <v>4.6490274114929899E-3</v>
      </c>
      <c r="Q19">
        <v>6.8852434206804021E-3</v>
      </c>
      <c r="R19">
        <v>6.7847439035833559E-3</v>
      </c>
      <c r="S19">
        <v>0.11893263477229443</v>
      </c>
      <c r="T19">
        <v>6.6553481073428108E-5</v>
      </c>
      <c r="U19">
        <v>8.9232883360495247E-3</v>
      </c>
      <c r="V19">
        <v>3.6435283577163197E-3</v>
      </c>
      <c r="W19">
        <v>3.0935383722409052E-4</v>
      </c>
      <c r="X19">
        <v>8.1176384055726232E-4</v>
      </c>
      <c r="Y19">
        <v>1.2701587350754156E-3</v>
      </c>
      <c r="Z19">
        <v>8.1384829043356316E-6</v>
      </c>
      <c r="AA19">
        <v>5.6839079596402111E-5</v>
      </c>
      <c r="AB19">
        <v>9.2923313706590281E-6</v>
      </c>
      <c r="AC19">
        <v>2.0699663308556308E-5</v>
      </c>
      <c r="AD19">
        <v>3.6403160978704243E-4</v>
      </c>
      <c r="AE19">
        <v>1.1050629823543443E-3</v>
      </c>
      <c r="AF19">
        <v>8.379962556418879E-4</v>
      </c>
      <c r="AG19">
        <v>4.1191692549634105E-8</v>
      </c>
      <c r="AH19">
        <v>2.9718163366444367E-6</v>
      </c>
      <c r="AI19">
        <v>6.9655291688118588E-5</v>
      </c>
      <c r="AJ19">
        <v>2.5641304830425878E-2</v>
      </c>
      <c r="AK19">
        <v>3.1449451241253944E-2</v>
      </c>
      <c r="AL19">
        <v>4.7498373288138978E-3</v>
      </c>
      <c r="AM19">
        <v>2.0093868582619218E-3</v>
      </c>
      <c r="AN19">
        <v>8.3958965395908216E-3</v>
      </c>
      <c r="AO19">
        <v>1.395834057170137E-3</v>
      </c>
      <c r="AP19">
        <v>8.0822234519221372E-4</v>
      </c>
      <c r="AQ19">
        <v>7.0892239964254569E-4</v>
      </c>
    </row>
    <row r="20" spans="1:43" x14ac:dyDescent="0.25">
      <c r="A20" t="s">
        <v>18</v>
      </c>
      <c r="B20">
        <v>4.6025141277956688E-4</v>
      </c>
      <c r="C20">
        <v>1.0180279426227594E-2</v>
      </c>
      <c r="D20">
        <v>3.7095663444175741E-4</v>
      </c>
      <c r="E20">
        <v>2.4380939397728067E-4</v>
      </c>
      <c r="F20">
        <v>7.991638058804317E-4</v>
      </c>
      <c r="G20">
        <v>5.9811363867473977E-3</v>
      </c>
      <c r="H20">
        <v>1.2871354967041956E-3</v>
      </c>
      <c r="I20">
        <v>2.9575119508539287E-2</v>
      </c>
      <c r="J20">
        <v>2.6213481609132421E-4</v>
      </c>
      <c r="K20">
        <v>3.2414503454521798E-3</v>
      </c>
      <c r="L20">
        <v>4.752858426758403E-2</v>
      </c>
      <c r="M20">
        <v>1.8477104122710072E-2</v>
      </c>
      <c r="N20">
        <v>9.7100458920980869E-4</v>
      </c>
      <c r="O20">
        <v>1.2310844245465901E-3</v>
      </c>
      <c r="P20">
        <v>5.5320449357443269E-4</v>
      </c>
      <c r="Q20">
        <v>1.5066440340495376E-3</v>
      </c>
      <c r="R20">
        <v>7.9938849465662084E-4</v>
      </c>
      <c r="S20">
        <v>4.0736370317076799E-5</v>
      </c>
      <c r="T20">
        <v>0.13387306934184029</v>
      </c>
      <c r="U20">
        <v>1.1760328165598729E-3</v>
      </c>
      <c r="V20">
        <v>3.4286078786883359E-5</v>
      </c>
      <c r="W20">
        <v>2.8096214023198762E-6</v>
      </c>
      <c r="X20">
        <v>1.0394991892777153E-5</v>
      </c>
      <c r="Y20">
        <v>5.5127775991876005E-4</v>
      </c>
      <c r="Z20">
        <v>2.9681717151134514E-6</v>
      </c>
      <c r="AA20">
        <v>7.8205602545036964E-5</v>
      </c>
      <c r="AB20">
        <v>2.3488954151746963E-4</v>
      </c>
      <c r="AC20">
        <v>2.7464637067912106E-5</v>
      </c>
      <c r="AD20">
        <v>3.8268921639754921E-4</v>
      </c>
      <c r="AE20">
        <v>3.2883440727222079E-4</v>
      </c>
      <c r="AF20">
        <v>4.1140434945531735E-5</v>
      </c>
      <c r="AG20">
        <v>4.4480632802926359E-6</v>
      </c>
      <c r="AH20">
        <v>6.4256906517388566E-4</v>
      </c>
      <c r="AI20">
        <v>8.3132327200453686E-4</v>
      </c>
      <c r="AJ20">
        <v>1.1382592046566049E-6</v>
      </c>
      <c r="AK20">
        <v>5.0545915630618062E-3</v>
      </c>
      <c r="AL20">
        <v>2.9089499273593409E-3</v>
      </c>
      <c r="AM20">
        <v>8.743689655657803E-3</v>
      </c>
      <c r="AN20">
        <v>1.4746232931027023E-5</v>
      </c>
      <c r="AO20">
        <v>2.1107020152531276E-4</v>
      </c>
      <c r="AP20">
        <v>1.1996835115131628E-3</v>
      </c>
      <c r="AQ20">
        <v>1.1430089062197185E-3</v>
      </c>
    </row>
    <row r="21" spans="1:43" x14ac:dyDescent="0.25">
      <c r="A21" t="s">
        <v>19</v>
      </c>
      <c r="B21">
        <v>1.3342032059084383E-3</v>
      </c>
      <c r="C21">
        <v>2.4842335108074313E-3</v>
      </c>
      <c r="D21">
        <v>1.7063343301223562E-3</v>
      </c>
      <c r="E21">
        <v>4.2338312551849306E-4</v>
      </c>
      <c r="F21">
        <v>4.8716316564874883E-4</v>
      </c>
      <c r="G21">
        <v>1.5948765165659545E-4</v>
      </c>
      <c r="H21">
        <v>4.2538999690908228E-4</v>
      </c>
      <c r="I21">
        <v>1.1059217473434876E-3</v>
      </c>
      <c r="J21">
        <v>1.0280141019269034E-3</v>
      </c>
      <c r="K21">
        <v>1.1341245729781456E-3</v>
      </c>
      <c r="L21">
        <v>1.4253824797003159E-3</v>
      </c>
      <c r="M21">
        <v>7.6334379195124979E-4</v>
      </c>
      <c r="N21">
        <v>1.4280625404473786E-3</v>
      </c>
      <c r="O21">
        <v>1.0189790584298551E-3</v>
      </c>
      <c r="P21">
        <v>8.1441408476309938E-4</v>
      </c>
      <c r="Q21">
        <v>5.4382765446935478E-4</v>
      </c>
      <c r="R21">
        <v>8.7163884376796879E-4</v>
      </c>
      <c r="S21">
        <v>5.8409782221631413E-4</v>
      </c>
      <c r="T21">
        <v>2.6323857910814357E-3</v>
      </c>
      <c r="U21">
        <v>1.5275648824174413E-3</v>
      </c>
      <c r="V21">
        <v>5.6386418883045851E-3</v>
      </c>
      <c r="W21">
        <v>2.6999082585473446E-3</v>
      </c>
      <c r="X21">
        <v>9.2985036964425751E-3</v>
      </c>
      <c r="Y21">
        <v>2.9564417176861709E-4</v>
      </c>
      <c r="Z21">
        <v>7.4286010703505654E-5</v>
      </c>
      <c r="AA21">
        <v>1.9093001907260797E-3</v>
      </c>
      <c r="AB21">
        <v>1.3481402323764556E-3</v>
      </c>
      <c r="AC21">
        <v>8.9582348114175569E-4</v>
      </c>
      <c r="AD21">
        <v>1.7064049919774896E-3</v>
      </c>
      <c r="AE21">
        <v>4.1705722668314993E-4</v>
      </c>
      <c r="AF21">
        <v>9.2070528380607027E-5</v>
      </c>
      <c r="AG21">
        <v>7.2726813767324218E-5</v>
      </c>
      <c r="AH21">
        <v>3.9496535112310428E-3</v>
      </c>
      <c r="AI21">
        <v>2.2789722345443143E-3</v>
      </c>
      <c r="AJ21">
        <v>4.6381314241926014E-5</v>
      </c>
      <c r="AK21">
        <v>1.4112674115649433E-3</v>
      </c>
      <c r="AL21">
        <v>2.7427520375090156E-3</v>
      </c>
      <c r="AM21">
        <v>6.4927697250557548E-4</v>
      </c>
      <c r="AN21">
        <v>1.0966016890316937E-3</v>
      </c>
      <c r="AO21">
        <v>3.4548283392275462E-4</v>
      </c>
      <c r="AP21">
        <v>1.5267830783326863E-3</v>
      </c>
      <c r="AQ21">
        <v>4.1436019067496574E-4</v>
      </c>
    </row>
    <row r="22" spans="1:43" x14ac:dyDescent="0.25">
      <c r="A22" t="s">
        <v>20</v>
      </c>
      <c r="B22">
        <v>5.3280272406317129E-2</v>
      </c>
      <c r="C22">
        <v>3.8441407824106856E-2</v>
      </c>
      <c r="D22">
        <v>5.028517926410752E-2</v>
      </c>
      <c r="E22">
        <v>8.5967360214241496E-3</v>
      </c>
      <c r="F22">
        <v>3.6317050286991642E-2</v>
      </c>
      <c r="G22">
        <v>1.1092029847340021E-2</v>
      </c>
      <c r="H22">
        <v>1.2871436965395219E-2</v>
      </c>
      <c r="I22">
        <v>2.0051294273383511E-2</v>
      </c>
      <c r="J22">
        <v>2.1609920582906769E-2</v>
      </c>
      <c r="K22">
        <v>4.1242946892883617E-2</v>
      </c>
      <c r="L22">
        <v>7.2665624341267596E-2</v>
      </c>
      <c r="M22">
        <v>2.2545076419022349E-2</v>
      </c>
      <c r="N22">
        <v>1.113850225140884E-2</v>
      </c>
      <c r="O22">
        <v>6.0134119699672755E-3</v>
      </c>
      <c r="P22">
        <v>6.3944530480482438E-3</v>
      </c>
      <c r="Q22">
        <v>9.7182947541161468E-3</v>
      </c>
      <c r="R22">
        <v>1.0466605141281166E-2</v>
      </c>
      <c r="S22">
        <v>4.6280577438923796E-3</v>
      </c>
      <c r="T22">
        <v>3.4217522151128076E-2</v>
      </c>
      <c r="U22">
        <v>1.1506434348132378E-2</v>
      </c>
      <c r="V22">
        <v>0.39293676123505872</v>
      </c>
      <c r="W22">
        <v>5.7874098810455901E-3</v>
      </c>
      <c r="X22">
        <v>8.5972077239019049E-2</v>
      </c>
      <c r="Y22">
        <v>2.8184908600515741E-3</v>
      </c>
      <c r="Z22">
        <v>1.2181280545063233E-2</v>
      </c>
      <c r="AA22">
        <v>1.031097200605465E-2</v>
      </c>
      <c r="AB22">
        <v>1.4254636651000236E-2</v>
      </c>
      <c r="AC22">
        <v>1.581033477580851E-2</v>
      </c>
      <c r="AD22">
        <v>3.3703033861065067E-2</v>
      </c>
      <c r="AE22">
        <v>1.8771979143236944E-2</v>
      </c>
      <c r="AF22">
        <v>5.5793267883655941E-3</v>
      </c>
      <c r="AG22">
        <v>1.5915318055980639E-3</v>
      </c>
      <c r="AH22">
        <v>8.1571112238985836E-3</v>
      </c>
      <c r="AI22">
        <v>4.0242275155961777E-3</v>
      </c>
      <c r="AJ22">
        <v>4.2605251071546179E-3</v>
      </c>
      <c r="AK22">
        <v>1.3883946314971027E-3</v>
      </c>
      <c r="AL22">
        <v>3.0068981023229014E-2</v>
      </c>
      <c r="AM22">
        <v>1.0276889567908393E-2</v>
      </c>
      <c r="AN22">
        <v>1.0016907625556088E-2</v>
      </c>
      <c r="AO22">
        <v>7.5526012117845785E-3</v>
      </c>
      <c r="AP22">
        <v>1.0516790658066565E-2</v>
      </c>
      <c r="AQ22">
        <v>6.2414378464889101E-3</v>
      </c>
    </row>
    <row r="23" spans="1:43" x14ac:dyDescent="0.25">
      <c r="A23" t="s">
        <v>21</v>
      </c>
      <c r="B23">
        <v>1.1296341536549861E-3</v>
      </c>
      <c r="C23">
        <v>1.7698326553483554E-2</v>
      </c>
      <c r="D23">
        <v>1.5494253806977644E-3</v>
      </c>
      <c r="E23">
        <v>1.4950211262826834E-4</v>
      </c>
      <c r="F23">
        <v>4.1370839657770068E-4</v>
      </c>
      <c r="G23">
        <v>9.5516173248959271E-5</v>
      </c>
      <c r="H23">
        <v>2.7980226034997854E-5</v>
      </c>
      <c r="I23">
        <v>2.0182599691958999E-3</v>
      </c>
      <c r="J23">
        <v>5.2621376321994198E-4</v>
      </c>
      <c r="K23">
        <v>3.7054513044611492E-3</v>
      </c>
      <c r="L23">
        <v>5.7477465182159309E-3</v>
      </c>
      <c r="M23">
        <v>5.4766265707741745E-3</v>
      </c>
      <c r="N23">
        <v>1.5559208561550623E-3</v>
      </c>
      <c r="O23">
        <v>1.2575323434328351E-3</v>
      </c>
      <c r="P23">
        <v>1.1698217762596257E-3</v>
      </c>
      <c r="Q23">
        <v>1.3898263315359699E-4</v>
      </c>
      <c r="R23">
        <v>5.4171280011643714E-5</v>
      </c>
      <c r="S23">
        <v>5.3264053585673215E-5</v>
      </c>
      <c r="T23">
        <v>6.5503705164699812E-5</v>
      </c>
      <c r="U23">
        <v>2.606810141821201E-6</v>
      </c>
      <c r="V23">
        <v>3.5690354262222876E-2</v>
      </c>
      <c r="W23">
        <v>0.34366019149169219</v>
      </c>
      <c r="X23">
        <v>1.5696782154672277E-6</v>
      </c>
      <c r="Y23">
        <v>1.037635233135794E-6</v>
      </c>
      <c r="Z23">
        <v>5.1533656189765334E-6</v>
      </c>
      <c r="AA23">
        <v>1.1004355211606011E-2</v>
      </c>
      <c r="AB23">
        <v>7.1117033505590146E-3</v>
      </c>
      <c r="AC23">
        <v>1.0182051853479827E-4</v>
      </c>
      <c r="AD23">
        <v>1.4816715595384589E-4</v>
      </c>
      <c r="AE23">
        <v>3.3951987813421979E-4</v>
      </c>
      <c r="AF23">
        <v>4.8981922400285341E-5</v>
      </c>
      <c r="AG23">
        <v>1.2424084193915235E-5</v>
      </c>
      <c r="AH23">
        <v>4.2569029619379838E-4</v>
      </c>
      <c r="AI23">
        <v>1.7078905574890096E-4</v>
      </c>
      <c r="AJ23">
        <v>6.8232522630248652E-6</v>
      </c>
      <c r="AK23">
        <v>7.0995709485563853E-5</v>
      </c>
      <c r="AL23">
        <v>1.0946870742113066E-3</v>
      </c>
      <c r="AM23">
        <v>2.6497712655437736E-3</v>
      </c>
      <c r="AN23">
        <v>3.0150619633199302E-6</v>
      </c>
      <c r="AO23">
        <v>1.205378863129551E-4</v>
      </c>
      <c r="AP23">
        <v>4.7594936574974758E-4</v>
      </c>
      <c r="AQ23">
        <v>3.6438318163659452E-4</v>
      </c>
    </row>
    <row r="24" spans="1:43" x14ac:dyDescent="0.25">
      <c r="A24" t="s">
        <v>22</v>
      </c>
      <c r="B24">
        <v>9.2364031705333919E-4</v>
      </c>
      <c r="C24">
        <v>1.3404726903085257E-3</v>
      </c>
      <c r="D24">
        <v>1.2111065747079173E-3</v>
      </c>
      <c r="E24">
        <v>1.1566298691490986E-3</v>
      </c>
      <c r="F24">
        <v>1.7239098316918105E-3</v>
      </c>
      <c r="G24">
        <v>1.280087142212303E-3</v>
      </c>
      <c r="H24">
        <v>1.1620704418044724E-3</v>
      </c>
      <c r="I24">
        <v>1.2280696495685008E-3</v>
      </c>
      <c r="J24">
        <v>1.0068209861443839E-3</v>
      </c>
      <c r="K24">
        <v>1.3181599016489247E-3</v>
      </c>
      <c r="L24">
        <v>1.0684189632732179E-3</v>
      </c>
      <c r="M24">
        <v>1.2276198237716957E-3</v>
      </c>
      <c r="N24">
        <v>1.2185423525361003E-3</v>
      </c>
      <c r="O24">
        <v>1.0973338391554561E-3</v>
      </c>
      <c r="P24">
        <v>9.8542649466951322E-4</v>
      </c>
      <c r="Q24">
        <v>1.0577271452943283E-3</v>
      </c>
      <c r="R24">
        <v>1.1238629469067347E-3</v>
      </c>
      <c r="S24">
        <v>1.0199049756565814E-3</v>
      </c>
      <c r="T24">
        <v>1.2657564505222088E-3</v>
      </c>
      <c r="U24">
        <v>1.1105920173004199E-3</v>
      </c>
      <c r="V24">
        <v>8.1015292083096288E-4</v>
      </c>
      <c r="W24">
        <v>5.0542654414206941E-4</v>
      </c>
      <c r="X24">
        <v>3.9267778958529176E-2</v>
      </c>
      <c r="Y24">
        <v>1.0775988194579084E-3</v>
      </c>
      <c r="Z24">
        <v>1.6359219800908857E-3</v>
      </c>
      <c r="AA24">
        <v>6.9649590568233001E-4</v>
      </c>
      <c r="AB24">
        <v>1.6882021302256826E-3</v>
      </c>
      <c r="AC24">
        <v>1.3394927019063543E-3</v>
      </c>
      <c r="AD24">
        <v>1.3256176095112616E-3</v>
      </c>
      <c r="AE24">
        <v>7.9023749744118303E-4</v>
      </c>
      <c r="AF24">
        <v>4.8918760114577018E-4</v>
      </c>
      <c r="AG24">
        <v>5.3447578302459056E-4</v>
      </c>
      <c r="AH24">
        <v>9.1801676165515985E-4</v>
      </c>
      <c r="AI24">
        <v>6.2799919939253435E-4</v>
      </c>
      <c r="AJ24">
        <v>5.4581555657373171E-4</v>
      </c>
      <c r="AK24">
        <v>5.8423290749248606E-4</v>
      </c>
      <c r="AL24">
        <v>1.9204054994507202E-3</v>
      </c>
      <c r="AM24">
        <v>3.0088128434681964E-3</v>
      </c>
      <c r="AN24">
        <v>2.7216998039225281E-3</v>
      </c>
      <c r="AO24">
        <v>1.298843089261248E-3</v>
      </c>
      <c r="AP24">
        <v>1.3695764014896655E-3</v>
      </c>
      <c r="AQ24">
        <v>1.5022110384118915E-3</v>
      </c>
    </row>
    <row r="25" spans="1:43" x14ac:dyDescent="0.25">
      <c r="A25" t="s">
        <v>23</v>
      </c>
      <c r="B25">
        <v>2.0612489854050773E-3</v>
      </c>
      <c r="C25">
        <v>6.5674938514784979E-4</v>
      </c>
      <c r="D25">
        <v>3.0698011582573894E-3</v>
      </c>
      <c r="E25">
        <v>5.542172912779194E-4</v>
      </c>
      <c r="F25">
        <v>7.3432978709698918E-4</v>
      </c>
      <c r="G25">
        <v>6.4975217827139154E-4</v>
      </c>
      <c r="H25">
        <v>9.1198500909942751E-4</v>
      </c>
      <c r="I25">
        <v>8.7611411210468664E-4</v>
      </c>
      <c r="J25">
        <v>2.0407580004938244E-4</v>
      </c>
      <c r="K25">
        <v>7.9415800143542415E-4</v>
      </c>
      <c r="L25">
        <v>2.8430751213269782E-4</v>
      </c>
      <c r="M25">
        <v>5.3330091391425255E-4</v>
      </c>
      <c r="N25">
        <v>8.0843904479841865E-4</v>
      </c>
      <c r="O25">
        <v>7.6778257157140333E-4</v>
      </c>
      <c r="P25">
        <v>7.0184442088083135E-4</v>
      </c>
      <c r="Q25">
        <v>5.626208713207148E-4</v>
      </c>
      <c r="R25">
        <v>1.378686688833399E-3</v>
      </c>
      <c r="S25">
        <v>8.4342230908971967E-4</v>
      </c>
      <c r="T25">
        <v>7.3105920899254391E-4</v>
      </c>
      <c r="U25">
        <v>2.4056322882421047E-3</v>
      </c>
      <c r="V25">
        <v>1.9060995918934059E-3</v>
      </c>
      <c r="W25">
        <v>4.7415276825065323E-4</v>
      </c>
      <c r="X25">
        <v>3.0983851775898395E-3</v>
      </c>
      <c r="Y25">
        <v>3.2497094458947967E-2</v>
      </c>
      <c r="Z25">
        <v>1.4285792899575611E-3</v>
      </c>
      <c r="AA25">
        <v>1.1349685158302202E-3</v>
      </c>
      <c r="AB25">
        <v>1.8783057625265246E-3</v>
      </c>
      <c r="AC25">
        <v>3.2285000551134904E-4</v>
      </c>
      <c r="AD25">
        <v>2.682529796338041E-3</v>
      </c>
      <c r="AE25">
        <v>1.7593414835454723E-3</v>
      </c>
      <c r="AF25">
        <v>1.9950087758022767E-4</v>
      </c>
      <c r="AG25">
        <v>6.2783505746754741E-4</v>
      </c>
      <c r="AH25">
        <v>4.8212811368388411E-2</v>
      </c>
      <c r="AI25">
        <v>5.2837217506449712E-4</v>
      </c>
      <c r="AJ25">
        <v>4.936009676899159E-4</v>
      </c>
      <c r="AK25">
        <v>4.4933148085947732E-4</v>
      </c>
      <c r="AL25">
        <v>3.8762557201221263E-3</v>
      </c>
      <c r="AM25">
        <v>3.4494030925955235E-3</v>
      </c>
      <c r="AN25">
        <v>2.2395106402578044E-3</v>
      </c>
      <c r="AO25">
        <v>1.2707955655281876E-3</v>
      </c>
      <c r="AP25">
        <v>5.754642662701679E-3</v>
      </c>
      <c r="AQ25">
        <v>6.7056258534827998E-3</v>
      </c>
    </row>
    <row r="26" spans="1:43" x14ac:dyDescent="0.25">
      <c r="A26" t="s">
        <v>24</v>
      </c>
      <c r="B26">
        <v>1.7209121128278829E-2</v>
      </c>
      <c r="C26">
        <v>4.4024038129629392E-2</v>
      </c>
      <c r="D26">
        <v>3.9688369410037193E-2</v>
      </c>
      <c r="E26">
        <v>4.2652714882741062E-2</v>
      </c>
      <c r="F26">
        <v>4.8229753421823694E-2</v>
      </c>
      <c r="G26">
        <v>7.8128231489075217E-2</v>
      </c>
      <c r="H26">
        <v>0.10055460235079654</v>
      </c>
      <c r="I26">
        <v>5.6546791930703923E-2</v>
      </c>
      <c r="J26">
        <v>1.4897726687830818E-2</v>
      </c>
      <c r="K26">
        <v>4.4290504083315189E-2</v>
      </c>
      <c r="L26">
        <v>1.9839825282066882E-2</v>
      </c>
      <c r="M26">
        <v>3.4604067886092625E-2</v>
      </c>
      <c r="N26">
        <v>4.2404724280240218E-2</v>
      </c>
      <c r="O26">
        <v>4.5377547794901725E-2</v>
      </c>
      <c r="P26">
        <v>5.805561100882798E-2</v>
      </c>
      <c r="Q26">
        <v>5.4562759365676214E-2</v>
      </c>
      <c r="R26">
        <v>6.3915323173138375E-2</v>
      </c>
      <c r="S26">
        <v>5.4257969141959309E-2</v>
      </c>
      <c r="T26">
        <v>1.4910179203013843E-2</v>
      </c>
      <c r="U26">
        <v>3.7067130942467483E-2</v>
      </c>
      <c r="V26">
        <v>9.2467562835694874E-3</v>
      </c>
      <c r="W26">
        <v>1.2636947024174528E-2</v>
      </c>
      <c r="X26">
        <v>1.5942089245769273E-2</v>
      </c>
      <c r="Y26">
        <v>4.1315750779090971E-2</v>
      </c>
      <c r="Z26">
        <v>1.3574173985646767E-2</v>
      </c>
      <c r="AA26">
        <v>3.6944837363325982E-2</v>
      </c>
      <c r="AB26">
        <v>5.2721441808322826E-2</v>
      </c>
      <c r="AC26">
        <v>2.2657800327196827E-2</v>
      </c>
      <c r="AD26">
        <v>1.6197126754540013E-2</v>
      </c>
      <c r="AE26">
        <v>4.5384920053762982E-3</v>
      </c>
      <c r="AF26">
        <v>2.1441066424977027E-2</v>
      </c>
      <c r="AG26">
        <v>5.2478877872019223E-3</v>
      </c>
      <c r="AH26">
        <v>7.5237898467873507E-3</v>
      </c>
      <c r="AI26">
        <v>3.2531297606313556E-2</v>
      </c>
      <c r="AJ26">
        <v>1.1444643303511207E-2</v>
      </c>
      <c r="AK26">
        <v>3.5285125782462907E-2</v>
      </c>
      <c r="AL26">
        <v>2.2652705718726743E-2</v>
      </c>
      <c r="AM26">
        <v>3.2997190612219951E-2</v>
      </c>
      <c r="AN26">
        <v>1.2542305404464915E-2</v>
      </c>
      <c r="AO26">
        <v>6.8523553409286342E-2</v>
      </c>
      <c r="AP26">
        <v>4.835397078679006E-2</v>
      </c>
      <c r="AQ26">
        <v>1.6319156160326004E-2</v>
      </c>
    </row>
    <row r="27" spans="1:43" x14ac:dyDescent="0.25">
      <c r="A27" t="s">
        <v>25</v>
      </c>
      <c r="B27">
        <v>2.6871656947332696E-2</v>
      </c>
      <c r="C27">
        <v>6.3202210498326E-2</v>
      </c>
      <c r="D27">
        <v>4.4318539166944435E-2</v>
      </c>
      <c r="E27">
        <v>2.8862537523430116E-2</v>
      </c>
      <c r="F27">
        <v>3.5509485133032551E-2</v>
      </c>
      <c r="G27">
        <v>3.3621566490413396E-2</v>
      </c>
      <c r="H27">
        <v>4.6657067524844595E-2</v>
      </c>
      <c r="I27">
        <v>4.3267976127370988E-2</v>
      </c>
      <c r="J27">
        <v>2.8334098119479387E-2</v>
      </c>
      <c r="K27">
        <v>4.0133037618126949E-2</v>
      </c>
      <c r="L27">
        <v>4.5496330450311498E-2</v>
      </c>
      <c r="M27">
        <v>4.0048102770701123E-2</v>
      </c>
      <c r="N27">
        <v>3.8207278704272755E-2</v>
      </c>
      <c r="O27">
        <v>3.5439664318561423E-2</v>
      </c>
      <c r="P27">
        <v>2.9174359604264465E-2</v>
      </c>
      <c r="Q27">
        <v>3.8392617761443308E-2</v>
      </c>
      <c r="R27">
        <v>2.0275486142571592E-2</v>
      </c>
      <c r="S27">
        <v>2.6158769573003744E-2</v>
      </c>
      <c r="T27">
        <v>1.6900038195790966E-2</v>
      </c>
      <c r="U27">
        <v>2.7747664164119952E-2</v>
      </c>
      <c r="V27">
        <v>1.9669606544630812E-2</v>
      </c>
      <c r="W27">
        <v>4.2005130717623303E-2</v>
      </c>
      <c r="X27">
        <v>1.0722582355731924E-2</v>
      </c>
      <c r="Y27">
        <v>3.8439755284569221E-2</v>
      </c>
      <c r="Z27">
        <v>6.251236949864683E-2</v>
      </c>
      <c r="AA27">
        <v>0.14972826474937173</v>
      </c>
      <c r="AB27">
        <v>2.6970049001753257E-2</v>
      </c>
      <c r="AC27">
        <v>1.6353186409130454E-2</v>
      </c>
      <c r="AD27">
        <v>3.1888127478812672E-2</v>
      </c>
      <c r="AE27">
        <v>1.0989515511814804E-2</v>
      </c>
      <c r="AF27">
        <v>9.2565571639809247E-3</v>
      </c>
      <c r="AG27">
        <v>1.1828382277408674E-2</v>
      </c>
      <c r="AH27">
        <v>4.3706013248863583E-3</v>
      </c>
      <c r="AI27">
        <v>3.8779899487101969E-2</v>
      </c>
      <c r="AJ27">
        <v>6.5876565831320556E-3</v>
      </c>
      <c r="AK27">
        <v>4.1401568472433536E-2</v>
      </c>
      <c r="AL27">
        <v>2.4809267620719482E-2</v>
      </c>
      <c r="AM27">
        <v>2.0393841084968303E-2</v>
      </c>
      <c r="AN27">
        <v>1.7336554817459389E-2</v>
      </c>
      <c r="AO27">
        <v>2.522242752796288E-2</v>
      </c>
      <c r="AP27">
        <v>2.6169326751207849E-2</v>
      </c>
      <c r="AQ27">
        <v>2.2250964891947268E-2</v>
      </c>
    </row>
    <row r="28" spans="1:43" x14ac:dyDescent="0.25">
      <c r="A28" t="s">
        <v>26</v>
      </c>
      <c r="B28">
        <v>1.898054548092537E-3</v>
      </c>
      <c r="C28">
        <v>2.6684518255026888E-3</v>
      </c>
      <c r="D28">
        <v>3.6105077291701268E-3</v>
      </c>
      <c r="E28">
        <v>1.7401978204445126E-3</v>
      </c>
      <c r="F28">
        <v>1.6483267861010511E-3</v>
      </c>
      <c r="G28">
        <v>2.2253671456767183E-3</v>
      </c>
      <c r="H28">
        <v>2.900585485028969E-3</v>
      </c>
      <c r="I28">
        <v>2.1323150942529926E-3</v>
      </c>
      <c r="J28">
        <v>2.2260002077557588E-4</v>
      </c>
      <c r="K28">
        <v>3.5677407032488461E-3</v>
      </c>
      <c r="L28">
        <v>2.6888505981446423E-3</v>
      </c>
      <c r="M28">
        <v>2.3407624855569862E-3</v>
      </c>
      <c r="N28">
        <v>3.6130112384241981E-3</v>
      </c>
      <c r="O28">
        <v>5.0975911728873653E-3</v>
      </c>
      <c r="P28">
        <v>1.2801954998232187E-3</v>
      </c>
      <c r="Q28">
        <v>2.7396530687425358E-3</v>
      </c>
      <c r="R28">
        <v>1.0548079463863688E-3</v>
      </c>
      <c r="S28">
        <v>6.5142792222582244E-3</v>
      </c>
      <c r="T28">
        <v>1.2602336993677338E-3</v>
      </c>
      <c r="U28">
        <v>2.0884313403056183E-3</v>
      </c>
      <c r="V28">
        <v>5.8886257030353432E-4</v>
      </c>
      <c r="W28">
        <v>4.2541352355530992E-4</v>
      </c>
      <c r="X28">
        <v>1.1246775607946398E-3</v>
      </c>
      <c r="Y28">
        <v>5.0860669633288284E-3</v>
      </c>
      <c r="Z28">
        <v>6.0221266777035973E-3</v>
      </c>
      <c r="AA28">
        <v>1.4328538805278304E-2</v>
      </c>
      <c r="AB28">
        <v>4.4963395855063034E-3</v>
      </c>
      <c r="AC28">
        <v>5.0283137213546158E-4</v>
      </c>
      <c r="AD28">
        <v>6.6699676427824247E-4</v>
      </c>
      <c r="AE28">
        <v>9.1820237500636083E-4</v>
      </c>
      <c r="AF28">
        <v>6.7766110899167582E-3</v>
      </c>
      <c r="AG28">
        <v>1.6251088090683329E-2</v>
      </c>
      <c r="AH28">
        <v>8.4668808521879183E-4</v>
      </c>
      <c r="AI28">
        <v>4.4807613656180731E-2</v>
      </c>
      <c r="AJ28">
        <v>1.6056958617484574E-3</v>
      </c>
      <c r="AK28">
        <v>3.3735343572026941E-2</v>
      </c>
      <c r="AL28">
        <v>4.4323566554874709E-3</v>
      </c>
      <c r="AM28">
        <v>6.1709600378577478E-3</v>
      </c>
      <c r="AN28">
        <v>2.265442752552865E-2</v>
      </c>
      <c r="AO28">
        <v>3.8607487936287341E-3</v>
      </c>
      <c r="AP28">
        <v>3.1137075067185705E-2</v>
      </c>
      <c r="AQ28">
        <v>4.6329232997001805E-2</v>
      </c>
    </row>
    <row r="29" spans="1:43" x14ac:dyDescent="0.25">
      <c r="A29" t="s">
        <v>27</v>
      </c>
      <c r="B29">
        <v>1.0311127112469483E-3</v>
      </c>
      <c r="C29">
        <v>1.515426519460044E-3</v>
      </c>
      <c r="D29">
        <v>9.3363748609670951E-4</v>
      </c>
      <c r="E29">
        <v>0.32448307404663018</v>
      </c>
      <c r="F29">
        <v>9.0333834883132791E-2</v>
      </c>
      <c r="G29">
        <v>3.1400444955375528E-2</v>
      </c>
      <c r="H29">
        <v>0.10683909317128709</v>
      </c>
      <c r="I29">
        <v>5.8384747467048817E-2</v>
      </c>
      <c r="J29">
        <v>3.6969362754186675E-3</v>
      </c>
      <c r="K29">
        <v>3.1761497758131092E-2</v>
      </c>
      <c r="L29">
        <v>7.8871823841530193E-4</v>
      </c>
      <c r="M29">
        <v>1.2058826974349426E-3</v>
      </c>
      <c r="N29">
        <v>1.4662811385877234E-3</v>
      </c>
      <c r="O29">
        <v>1.2722276213809715E-3</v>
      </c>
      <c r="P29">
        <v>1.1238412642617141E-3</v>
      </c>
      <c r="Q29">
        <v>9.8306433838523462E-4</v>
      </c>
      <c r="R29">
        <v>9.6466090829953476E-4</v>
      </c>
      <c r="S29">
        <v>8.705135632663479E-4</v>
      </c>
      <c r="T29">
        <v>1.7748850057941148E-2</v>
      </c>
      <c r="U29">
        <v>7.388551442567648E-4</v>
      </c>
      <c r="V29">
        <v>3.4717104778159468E-3</v>
      </c>
      <c r="W29">
        <v>6.335407430384749E-3</v>
      </c>
      <c r="X29">
        <v>1.0806907185395872E-3</v>
      </c>
      <c r="Y29">
        <v>2.722320707072508E-3</v>
      </c>
      <c r="Z29">
        <v>6.5407662485781552E-4</v>
      </c>
      <c r="AA29">
        <v>7.9879878909438736E-4</v>
      </c>
      <c r="AB29">
        <v>0.15814848360312334</v>
      </c>
      <c r="AC29">
        <v>0.13333963827460338</v>
      </c>
      <c r="AD29">
        <v>6.688093116505602E-4</v>
      </c>
      <c r="AE29">
        <v>6.56795322605862E-4</v>
      </c>
      <c r="AF29">
        <v>1.3970512803745767E-3</v>
      </c>
      <c r="AG29">
        <v>7.8619212389011487E-4</v>
      </c>
      <c r="AH29">
        <v>2.5656875361785734E-3</v>
      </c>
      <c r="AI29">
        <v>1.5125209300499754E-2</v>
      </c>
      <c r="AJ29">
        <v>4.4763267231432138E-3</v>
      </c>
      <c r="AK29">
        <v>3.1090712163836299E-3</v>
      </c>
      <c r="AL29">
        <v>8.5045958417770753E-2</v>
      </c>
      <c r="AM29">
        <v>1.7864827074572612E-2</v>
      </c>
      <c r="AN29">
        <v>1.2171604132129189E-2</v>
      </c>
      <c r="AO29">
        <v>3.9795151198545849E-3</v>
      </c>
      <c r="AP29">
        <v>1.9827417508190573E-2</v>
      </c>
      <c r="AQ29">
        <v>3.1476476660354065E-3</v>
      </c>
    </row>
    <row r="30" spans="1:43" x14ac:dyDescent="0.25">
      <c r="A30" t="s">
        <v>28</v>
      </c>
      <c r="B30">
        <v>4.0031283143405214E-3</v>
      </c>
      <c r="C30">
        <v>5.5521851274147015E-2</v>
      </c>
      <c r="D30">
        <v>1.4095730488398035E-2</v>
      </c>
      <c r="E30">
        <v>1.5870943951162024E-3</v>
      </c>
      <c r="F30">
        <v>2.7590714524481398E-3</v>
      </c>
      <c r="G30">
        <v>5.6436899835691557E-4</v>
      </c>
      <c r="H30">
        <v>2.5914461077348512E-4</v>
      </c>
      <c r="I30">
        <v>5.2301045741738701E-3</v>
      </c>
      <c r="J30">
        <v>9.4191307263178953E-2</v>
      </c>
      <c r="K30">
        <v>2.0556047730111403E-2</v>
      </c>
      <c r="L30">
        <v>3.0699040810718316E-2</v>
      </c>
      <c r="M30">
        <v>1.0312275556665681E-3</v>
      </c>
      <c r="N30">
        <v>8.0787978665073133E-5</v>
      </c>
      <c r="O30">
        <v>2.0057557569646249E-4</v>
      </c>
      <c r="P30">
        <v>2.239488438358776E-4</v>
      </c>
      <c r="Q30">
        <v>4.7618060040666087E-5</v>
      </c>
      <c r="R30">
        <v>6.6368673163520222E-7</v>
      </c>
      <c r="S30">
        <v>3.6774319620287875E-5</v>
      </c>
      <c r="T30">
        <v>2.8654538269079085E-3</v>
      </c>
      <c r="U30">
        <v>1.1866377836047485E-4</v>
      </c>
      <c r="V30">
        <v>0.10072041939645891</v>
      </c>
      <c r="W30">
        <v>2.5212137128628801E-2</v>
      </c>
      <c r="X30">
        <v>0</v>
      </c>
      <c r="Y30">
        <v>8.3034358664542125E-4</v>
      </c>
      <c r="Z30">
        <v>1.1435325859890877E-4</v>
      </c>
      <c r="AA30">
        <v>2.4011956694787166E-4</v>
      </c>
      <c r="AB30">
        <v>7.2573084156226861E-4</v>
      </c>
      <c r="AC30">
        <v>4.6370459058622462E-4</v>
      </c>
      <c r="AD30">
        <v>0.16149945213552452</v>
      </c>
      <c r="AE30">
        <v>1.48152718511642E-4</v>
      </c>
      <c r="AF30">
        <v>0</v>
      </c>
      <c r="AG30">
        <v>2.7448929859042075E-5</v>
      </c>
      <c r="AH30">
        <v>2.2897917199470825E-4</v>
      </c>
      <c r="AI30">
        <v>3.6929350121649033E-4</v>
      </c>
      <c r="AJ30">
        <v>6.0204206930382871E-6</v>
      </c>
      <c r="AK30">
        <v>8.3299751102558137E-4</v>
      </c>
      <c r="AL30">
        <v>4.8315820645064489E-3</v>
      </c>
      <c r="AM30">
        <v>4.0004967406412533E-3</v>
      </c>
      <c r="AN30">
        <v>2.3432180807830034E-5</v>
      </c>
      <c r="AO30">
        <v>6.7021737666902789E-5</v>
      </c>
      <c r="AP30">
        <v>5.5443826211843599E-4</v>
      </c>
      <c r="AQ30">
        <v>9.4455036590045832E-4</v>
      </c>
    </row>
    <row r="31" spans="1:43" x14ac:dyDescent="0.25">
      <c r="A31" t="s">
        <v>29</v>
      </c>
      <c r="B31">
        <v>1.0649226631972691E-4</v>
      </c>
      <c r="C31">
        <v>6.657163494570564E-4</v>
      </c>
      <c r="D31">
        <v>2.8459551730227145E-3</v>
      </c>
      <c r="E31">
        <v>0</v>
      </c>
      <c r="F31">
        <v>0</v>
      </c>
      <c r="G31">
        <v>0</v>
      </c>
      <c r="H31">
        <v>0</v>
      </c>
      <c r="I31">
        <v>0</v>
      </c>
      <c r="J31">
        <v>0.14271009116754405</v>
      </c>
      <c r="K31">
        <v>2.543338703783344E-2</v>
      </c>
      <c r="L31">
        <v>9.6672839575801892E-5</v>
      </c>
      <c r="M31">
        <v>5.8700687492425301E-6</v>
      </c>
      <c r="N31">
        <v>6.7089782732415593E-5</v>
      </c>
      <c r="O31">
        <v>2.5539034238968442E-5</v>
      </c>
      <c r="P31">
        <v>5.7821744338692598E-5</v>
      </c>
      <c r="Q31">
        <v>1.5166104068551387E-6</v>
      </c>
      <c r="R31">
        <v>0</v>
      </c>
      <c r="S31">
        <v>0</v>
      </c>
      <c r="T31">
        <v>0</v>
      </c>
      <c r="U31">
        <v>0</v>
      </c>
      <c r="V31">
        <v>1.5826603622596847E-6</v>
      </c>
      <c r="W31">
        <v>0.16163370009316291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4.5029326074571088E-4</v>
      </c>
      <c r="AE31">
        <v>5.3597982924809132E-4</v>
      </c>
      <c r="AF31">
        <v>0</v>
      </c>
      <c r="AG31">
        <v>0</v>
      </c>
      <c r="AH31">
        <v>0</v>
      </c>
      <c r="AI31">
        <v>0</v>
      </c>
      <c r="AJ31">
        <v>9.1227812370372814E-8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t="s">
        <v>30</v>
      </c>
      <c r="B32">
        <v>3.7212743558672536E-4</v>
      </c>
      <c r="C32">
        <v>4.9709246033606644E-4</v>
      </c>
      <c r="D32">
        <v>5.9753945843046103E-4</v>
      </c>
      <c r="E32">
        <v>1.07387602508206E-3</v>
      </c>
      <c r="F32">
        <v>8.1433636974467306E-4</v>
      </c>
      <c r="G32">
        <v>1.3879732172269353E-3</v>
      </c>
      <c r="H32">
        <v>1.0524606355194837E-3</v>
      </c>
      <c r="I32">
        <v>1.2670160525069035E-3</v>
      </c>
      <c r="J32">
        <v>1.0355994220614049E-4</v>
      </c>
      <c r="K32">
        <v>7.6425777840072545E-4</v>
      </c>
      <c r="L32">
        <v>1.9404866354507766E-4</v>
      </c>
      <c r="M32">
        <v>6.5474464874542301E-4</v>
      </c>
      <c r="N32">
        <v>1.3253213673181941E-3</v>
      </c>
      <c r="O32">
        <v>1.3754492437405286E-3</v>
      </c>
      <c r="P32">
        <v>5.0193202803102256E-4</v>
      </c>
      <c r="Q32">
        <v>1.3157603665637058E-3</v>
      </c>
      <c r="R32">
        <v>1.6615701167792672E-2</v>
      </c>
      <c r="S32">
        <v>1.1778923497756338E-3</v>
      </c>
      <c r="T32">
        <v>4.5904726896777662E-4</v>
      </c>
      <c r="U32">
        <v>1.049763445757833E-3</v>
      </c>
      <c r="V32">
        <v>9.5377817427018353E-4</v>
      </c>
      <c r="W32">
        <v>6.2443312233638807E-4</v>
      </c>
      <c r="X32">
        <v>1.8920382562792617E-3</v>
      </c>
      <c r="Y32">
        <v>5.4099388202233888E-3</v>
      </c>
      <c r="Z32">
        <v>3.1276439033323084E-2</v>
      </c>
      <c r="AA32">
        <v>2.826329503954654E-2</v>
      </c>
      <c r="AB32">
        <v>7.9315998063338687E-3</v>
      </c>
      <c r="AC32">
        <v>1.9137834821953269E-4</v>
      </c>
      <c r="AD32">
        <v>3.5730299618157044E-4</v>
      </c>
      <c r="AE32">
        <v>6.4183035283433393E-4</v>
      </c>
      <c r="AF32">
        <v>0.29852012073592266</v>
      </c>
      <c r="AG32">
        <v>1.8011819780997185E-2</v>
      </c>
      <c r="AH32">
        <v>7.2226859236051173E-3</v>
      </c>
      <c r="AI32">
        <v>5.9803098613002217E-2</v>
      </c>
      <c r="AJ32">
        <v>8.6025745091609495E-3</v>
      </c>
      <c r="AK32">
        <v>3.33222986995384E-2</v>
      </c>
      <c r="AL32">
        <v>1.0535150236005529E-2</v>
      </c>
      <c r="AM32">
        <v>1.1613232344151056E-2</v>
      </c>
      <c r="AN32">
        <v>1.6774910516805769E-2</v>
      </c>
      <c r="AO32">
        <v>1.7454347556423378E-2</v>
      </c>
      <c r="AP32">
        <v>3.7517826343035313E-2</v>
      </c>
      <c r="AQ32">
        <v>5.950826956500712E-2</v>
      </c>
    </row>
    <row r="33" spans="1:43" x14ac:dyDescent="0.25">
      <c r="A33" t="s">
        <v>31</v>
      </c>
      <c r="B33">
        <v>2.6721767748609696E-2</v>
      </c>
      <c r="C33">
        <v>1.5303946593427721E-2</v>
      </c>
      <c r="D33">
        <v>2.3780508631966849E-2</v>
      </c>
      <c r="E33">
        <v>5.0945835158279686E-3</v>
      </c>
      <c r="F33">
        <v>1.0005972435878054E-2</v>
      </c>
      <c r="G33">
        <v>4.4762657180898819E-3</v>
      </c>
      <c r="H33">
        <v>7.8049538425085637E-3</v>
      </c>
      <c r="I33">
        <v>6.9306127205581453E-3</v>
      </c>
      <c r="J33">
        <v>5.9961958631168212E-3</v>
      </c>
      <c r="K33">
        <v>9.7491755602326612E-3</v>
      </c>
      <c r="L33">
        <v>2.3705104684605668E-2</v>
      </c>
      <c r="M33">
        <v>6.7170048998466151E-3</v>
      </c>
      <c r="N33">
        <v>4.0478759336296851E-3</v>
      </c>
      <c r="O33">
        <v>6.7605204417954725E-3</v>
      </c>
      <c r="P33">
        <v>3.3680532488005255E-3</v>
      </c>
      <c r="Q33">
        <v>5.1648524126519926E-3</v>
      </c>
      <c r="R33">
        <v>3.5097424244290003E-3</v>
      </c>
      <c r="S33">
        <v>3.5611426570807602E-3</v>
      </c>
      <c r="T33">
        <v>6.3088452429537634E-3</v>
      </c>
      <c r="U33">
        <v>6.60669053779025E-3</v>
      </c>
      <c r="V33">
        <v>3.3101969046662551E-2</v>
      </c>
      <c r="W33">
        <v>1.019950545919924E-2</v>
      </c>
      <c r="X33">
        <v>5.9674694078633878E-2</v>
      </c>
      <c r="Y33">
        <v>2.114754514579267E-2</v>
      </c>
      <c r="Z33">
        <v>4.2260249237964211E-2</v>
      </c>
      <c r="AA33">
        <v>7.0813720649156184E-2</v>
      </c>
      <c r="AB33">
        <v>8.9767584746322012E-3</v>
      </c>
      <c r="AC33">
        <v>1.2852966703044606E-2</v>
      </c>
      <c r="AD33">
        <v>2.9162094783339799E-2</v>
      </c>
      <c r="AE33">
        <v>8.3102764996230045E-3</v>
      </c>
      <c r="AF33">
        <v>1.4366182211671063E-2</v>
      </c>
      <c r="AG33">
        <v>0.10275525557880327</v>
      </c>
      <c r="AH33">
        <v>4.6531043948841187E-2</v>
      </c>
      <c r="AI33">
        <v>5.33567298392814E-2</v>
      </c>
      <c r="AJ33">
        <v>1.6684508102186798E-3</v>
      </c>
      <c r="AK33">
        <v>1.7067196134156009E-2</v>
      </c>
      <c r="AL33">
        <v>4.5949697134759916E-2</v>
      </c>
      <c r="AM33">
        <v>1.065254198030418E-2</v>
      </c>
      <c r="AN33">
        <v>2.1974044751289081E-2</v>
      </c>
      <c r="AO33">
        <v>8.6431290383189047E-3</v>
      </c>
      <c r="AP33">
        <v>1.8527349513174363E-2</v>
      </c>
      <c r="AQ33">
        <v>5.5820800968045736E-3</v>
      </c>
    </row>
    <row r="34" spans="1:43" x14ac:dyDescent="0.25">
      <c r="A34" t="s">
        <v>32</v>
      </c>
      <c r="B34">
        <v>1.8871875136038525E-4</v>
      </c>
      <c r="C34">
        <v>6.2065406790446688E-4</v>
      </c>
      <c r="D34">
        <v>3.776022915048914E-4</v>
      </c>
      <c r="E34">
        <v>3.2728599274874185E-4</v>
      </c>
      <c r="F34">
        <v>4.686144686716365E-4</v>
      </c>
      <c r="G34">
        <v>9.4913116858578311E-4</v>
      </c>
      <c r="H34">
        <v>9.3324660571029343E-4</v>
      </c>
      <c r="I34">
        <v>5.3757975693848894E-4</v>
      </c>
      <c r="J34">
        <v>2.441339439067152E-5</v>
      </c>
      <c r="K34">
        <v>3.2839160475300894E-4</v>
      </c>
      <c r="L34">
        <v>5.2982780655521165E-5</v>
      </c>
      <c r="M34">
        <v>4.8297595507578882E-4</v>
      </c>
      <c r="N34">
        <v>6.3272192755082178E-4</v>
      </c>
      <c r="O34">
        <v>6.9149236577579001E-4</v>
      </c>
      <c r="P34">
        <v>2.7881313432005702E-4</v>
      </c>
      <c r="Q34">
        <v>3.8157183807853749E-4</v>
      </c>
      <c r="R34">
        <v>4.6570106008658469E-4</v>
      </c>
      <c r="S34">
        <v>8.3049654255598919E-4</v>
      </c>
      <c r="T34">
        <v>2.5411772862068326E-4</v>
      </c>
      <c r="U34">
        <v>2.0637914045865289E-3</v>
      </c>
      <c r="V34">
        <v>2.2267879923044203E-4</v>
      </c>
      <c r="W34">
        <v>3.3559019686862755E-4</v>
      </c>
      <c r="X34">
        <v>7.0533147476659042E-4</v>
      </c>
      <c r="Y34">
        <v>4.2456615608665188E-4</v>
      </c>
      <c r="Z34">
        <v>3.7439149616775164E-2</v>
      </c>
      <c r="AA34">
        <v>3.1071419757622738E-3</v>
      </c>
      <c r="AB34">
        <v>1.4712485093598179E-2</v>
      </c>
      <c r="AC34">
        <v>2.079874265256026E-5</v>
      </c>
      <c r="AD34">
        <v>2.062018541061043E-4</v>
      </c>
      <c r="AE34">
        <v>4.1893066443523288E-4</v>
      </c>
      <c r="AF34">
        <v>1.9264358767029078E-2</v>
      </c>
      <c r="AG34">
        <v>2.2124575188315777E-2</v>
      </c>
      <c r="AH34">
        <v>6.8042635530679491E-2</v>
      </c>
      <c r="AI34">
        <v>1.8077453799714066E-2</v>
      </c>
      <c r="AJ34">
        <v>2.7782374061029302E-3</v>
      </c>
      <c r="AK34">
        <v>4.1381715316153814E-3</v>
      </c>
      <c r="AL34">
        <v>4.1105397425700019E-3</v>
      </c>
      <c r="AM34">
        <v>3.769545709061857E-2</v>
      </c>
      <c r="AN34">
        <v>1.7612802776390907E-2</v>
      </c>
      <c r="AO34">
        <v>4.7100934939253714E-3</v>
      </c>
      <c r="AP34">
        <v>1.9643216111304269E-2</v>
      </c>
      <c r="AQ34">
        <v>1.3234834585126472E-2</v>
      </c>
    </row>
    <row r="35" spans="1:43" x14ac:dyDescent="0.25">
      <c r="A35" t="s">
        <v>33</v>
      </c>
      <c r="B35">
        <v>2.7360940557548098E-2</v>
      </c>
      <c r="C35">
        <v>2.0618234752389442E-2</v>
      </c>
      <c r="D35">
        <v>4.1024909432123474E-2</v>
      </c>
      <c r="E35">
        <v>2.2669948109682897E-2</v>
      </c>
      <c r="F35">
        <v>1.2773080992823975E-2</v>
      </c>
      <c r="G35">
        <v>2.1310517686497589E-2</v>
      </c>
      <c r="H35">
        <v>2.1716873199458336E-2</v>
      </c>
      <c r="I35">
        <v>1.9296506277604455E-2</v>
      </c>
      <c r="J35">
        <v>1.4069239238645812E-2</v>
      </c>
      <c r="K35">
        <v>2.1059676048619771E-2</v>
      </c>
      <c r="L35">
        <v>1.9508435563413511E-2</v>
      </c>
      <c r="M35">
        <v>2.0864048056690628E-2</v>
      </c>
      <c r="N35">
        <v>2.267531726652398E-2</v>
      </c>
      <c r="O35">
        <v>2.2789315681221431E-2</v>
      </c>
      <c r="P35">
        <v>3.6191374572331493E-2</v>
      </c>
      <c r="Q35">
        <v>2.7149063108732406E-2</v>
      </c>
      <c r="R35">
        <v>1.5286920570983228E-2</v>
      </c>
      <c r="S35">
        <v>1.8854851734300009E-2</v>
      </c>
      <c r="T35">
        <v>1.2655866267395691E-2</v>
      </c>
      <c r="U35">
        <v>3.8532567541210302E-2</v>
      </c>
      <c r="V35">
        <v>2.7428331962893897E-2</v>
      </c>
      <c r="W35">
        <v>2.5011602705987977E-2</v>
      </c>
      <c r="X35">
        <v>4.8937989512488352E-2</v>
      </c>
      <c r="Y35">
        <v>2.3273367578537926E-2</v>
      </c>
      <c r="Z35">
        <v>9.2525737727076049E-2</v>
      </c>
      <c r="AA35">
        <v>2.5260721257958012E-2</v>
      </c>
      <c r="AB35">
        <v>2.239533108325608E-2</v>
      </c>
      <c r="AC35">
        <v>4.4702567858497869E-3</v>
      </c>
      <c r="AD35">
        <v>1.9245812916844289E-2</v>
      </c>
      <c r="AE35">
        <v>1.2635512866526857E-2</v>
      </c>
      <c r="AF35">
        <v>8.6121055252799728E-2</v>
      </c>
      <c r="AG35">
        <v>4.4863287516124395E-2</v>
      </c>
      <c r="AH35">
        <v>7.3225734220566566E-2</v>
      </c>
      <c r="AI35">
        <v>0.15278551721742922</v>
      </c>
      <c r="AJ35">
        <v>1.1822202804598581E-2</v>
      </c>
      <c r="AK35">
        <v>6.9043792805080634E-2</v>
      </c>
      <c r="AL35">
        <v>3.3427779295115631E-2</v>
      </c>
      <c r="AM35">
        <v>3.3128311664419686E-2</v>
      </c>
      <c r="AN35">
        <v>2.6923193463584679E-2</v>
      </c>
      <c r="AO35">
        <v>1.093057472811829E-2</v>
      </c>
      <c r="AP35">
        <v>5.4398392140197649E-2</v>
      </c>
      <c r="AQ35">
        <v>5.3486404841116837E-2</v>
      </c>
    </row>
    <row r="36" spans="1:43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8.4507013411918054E-3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35</v>
      </c>
      <c r="B37">
        <v>6.4717724642567752E-3</v>
      </c>
      <c r="C37">
        <v>4.6732555907022149E-3</v>
      </c>
      <c r="D37">
        <v>1.4169691504578759E-2</v>
      </c>
      <c r="E37">
        <v>3.5142751105842495E-3</v>
      </c>
      <c r="F37">
        <v>3.4279194259450572E-3</v>
      </c>
      <c r="G37">
        <v>4.9059554347678563E-3</v>
      </c>
      <c r="H37">
        <v>3.7697891536223062E-3</v>
      </c>
      <c r="I37">
        <v>3.3277886086236332E-3</v>
      </c>
      <c r="J37">
        <v>2.7386477263951947E-3</v>
      </c>
      <c r="K37">
        <v>6.1566702044047522E-3</v>
      </c>
      <c r="L37">
        <v>3.8429263927795844E-3</v>
      </c>
      <c r="M37">
        <v>3.8286277330553359E-3</v>
      </c>
      <c r="N37">
        <v>5.0565579166815125E-3</v>
      </c>
      <c r="O37">
        <v>8.5127537078940121E-3</v>
      </c>
      <c r="P37">
        <v>8.7502694530092288E-3</v>
      </c>
      <c r="Q37">
        <v>5.1139198599339268E-3</v>
      </c>
      <c r="R37">
        <v>5.9746940209874392E-3</v>
      </c>
      <c r="S37">
        <v>6.6165165608955013E-3</v>
      </c>
      <c r="T37">
        <v>3.3099373033391023E-3</v>
      </c>
      <c r="U37">
        <v>4.5087532895202367E-3</v>
      </c>
      <c r="V37">
        <v>4.482113412057823E-3</v>
      </c>
      <c r="W37">
        <v>2.9180545314497564E-3</v>
      </c>
      <c r="X37">
        <v>7.7784003258834465E-3</v>
      </c>
      <c r="Y37">
        <v>8.9477430181841108E-2</v>
      </c>
      <c r="Z37">
        <v>5.0752255719815542E-3</v>
      </c>
      <c r="AA37">
        <v>2.2218785201367245E-3</v>
      </c>
      <c r="AB37">
        <v>2.4565908430542213E-3</v>
      </c>
      <c r="AC37">
        <v>2.9391623656581239E-3</v>
      </c>
      <c r="AD37">
        <v>9.0481954365916606E-3</v>
      </c>
      <c r="AE37">
        <v>3.5248596142336917E-3</v>
      </c>
      <c r="AF37">
        <v>8.1963459627265624E-3</v>
      </c>
      <c r="AG37">
        <v>6.7437838437281797E-4</v>
      </c>
      <c r="AH37">
        <v>5.5898672867915177E-4</v>
      </c>
      <c r="AI37">
        <v>6.7497222360535995E-4</v>
      </c>
      <c r="AJ37">
        <v>2.8830562748978834E-2</v>
      </c>
      <c r="AK37">
        <v>0.12840951766319608</v>
      </c>
      <c r="AL37">
        <v>3.9677353156903645E-3</v>
      </c>
      <c r="AM37">
        <v>9.1320844625141829E-4</v>
      </c>
      <c r="AN37">
        <v>2.0176096272074462E-3</v>
      </c>
      <c r="AO37">
        <v>8.1694909485829849E-4</v>
      </c>
      <c r="AP37">
        <v>6.7534747127667597E-4</v>
      </c>
      <c r="AQ37">
        <v>1.8466809443686973E-5</v>
      </c>
    </row>
    <row r="38" spans="1:43" x14ac:dyDescent="0.25">
      <c r="A38" t="s">
        <v>36</v>
      </c>
      <c r="B38">
        <v>2.141476719144757E-3</v>
      </c>
      <c r="C38">
        <v>7.574100907026222E-4</v>
      </c>
      <c r="D38">
        <v>3.4233773031308841E-3</v>
      </c>
      <c r="E38">
        <v>6.6799078360876894E-4</v>
      </c>
      <c r="F38">
        <v>6.5397872665670426E-4</v>
      </c>
      <c r="G38">
        <v>6.4076575190199895E-4</v>
      </c>
      <c r="H38">
        <v>6.8583954457231784E-4</v>
      </c>
      <c r="I38">
        <v>2.003802523383078E-3</v>
      </c>
      <c r="J38">
        <v>6.6584758740982175E-4</v>
      </c>
      <c r="K38">
        <v>7.7235055029094496E-4</v>
      </c>
      <c r="L38">
        <v>1.0109763229710709E-3</v>
      </c>
      <c r="M38">
        <v>7.2512552887944086E-4</v>
      </c>
      <c r="N38">
        <v>7.0857253232623808E-4</v>
      </c>
      <c r="O38">
        <v>7.3675363135244443E-4</v>
      </c>
      <c r="P38">
        <v>6.423344349161897E-4</v>
      </c>
      <c r="Q38">
        <v>6.6794146312439476E-4</v>
      </c>
      <c r="R38">
        <v>6.4459436550299133E-4</v>
      </c>
      <c r="S38">
        <v>7.2150946422620333E-4</v>
      </c>
      <c r="T38">
        <v>7.0844181996109477E-4</v>
      </c>
      <c r="U38">
        <v>6.9862003895242045E-4</v>
      </c>
      <c r="V38">
        <v>3.4422131364836382E-3</v>
      </c>
      <c r="W38">
        <v>7.4039560577877667E-4</v>
      </c>
      <c r="X38">
        <v>4.9524828905972082E-2</v>
      </c>
      <c r="Y38">
        <v>7.001891177793551E-4</v>
      </c>
      <c r="Z38">
        <v>8.2987285526182561E-4</v>
      </c>
      <c r="AA38">
        <v>1.247656472752319E-3</v>
      </c>
      <c r="AB38">
        <v>7.512941158799647E-4</v>
      </c>
      <c r="AC38">
        <v>1.8430543396892594E-3</v>
      </c>
      <c r="AD38">
        <v>1.8770289292012947E-3</v>
      </c>
      <c r="AE38">
        <v>9.1023772436822181E-4</v>
      </c>
      <c r="AF38">
        <v>9.258298371823667E-4</v>
      </c>
      <c r="AG38">
        <v>1.1244229763897556E-3</v>
      </c>
      <c r="AH38">
        <v>1.6894876239612522E-3</v>
      </c>
      <c r="AI38">
        <v>2.5077900902267013E-3</v>
      </c>
      <c r="AJ38">
        <v>1.1623069259940357E-3</v>
      </c>
      <c r="AK38">
        <v>8.3843716711271173E-4</v>
      </c>
      <c r="AL38">
        <v>2.7680272892952846E-2</v>
      </c>
      <c r="AM38">
        <v>1.0830857772416778E-3</v>
      </c>
      <c r="AN38">
        <v>1.0318212710419604E-3</v>
      </c>
      <c r="AO38">
        <v>8.4186529108108569E-4</v>
      </c>
      <c r="AP38">
        <v>1.6839732996825974E-3</v>
      </c>
      <c r="AQ38">
        <v>5.4537835407990065E-3</v>
      </c>
    </row>
    <row r="39" spans="1:43" x14ac:dyDescent="0.25">
      <c r="A39" t="s">
        <v>37</v>
      </c>
      <c r="B39">
        <v>1.9826563525741359E-3</v>
      </c>
      <c r="C39">
        <v>3.744962308535776E-3</v>
      </c>
      <c r="D39">
        <v>6.3379613472045009E-3</v>
      </c>
      <c r="E39">
        <v>2.4809379483830378E-3</v>
      </c>
      <c r="F39">
        <v>2.5757575276950757E-3</v>
      </c>
      <c r="G39">
        <v>2.6952734860535648E-3</v>
      </c>
      <c r="H39">
        <v>2.867883334073396E-3</v>
      </c>
      <c r="I39">
        <v>3.3384571555649853E-3</v>
      </c>
      <c r="J39">
        <v>2.7868574667628395E-3</v>
      </c>
      <c r="K39">
        <v>3.3255326153306007E-3</v>
      </c>
      <c r="L39">
        <v>2.4825704539080179E-3</v>
      </c>
      <c r="M39">
        <v>3.0926863501054259E-3</v>
      </c>
      <c r="N39">
        <v>3.4466044225660124E-3</v>
      </c>
      <c r="O39">
        <v>3.0834730164867579E-3</v>
      </c>
      <c r="P39">
        <v>3.7549229333079782E-3</v>
      </c>
      <c r="Q39">
        <v>2.4444097201279584E-3</v>
      </c>
      <c r="R39">
        <v>3.0721775003389805E-3</v>
      </c>
      <c r="S39">
        <v>3.3106472284736019E-3</v>
      </c>
      <c r="T39">
        <v>2.9086256506710823E-3</v>
      </c>
      <c r="U39">
        <v>4.4112415318738026E-3</v>
      </c>
      <c r="V39">
        <v>3.9879424814872298E-3</v>
      </c>
      <c r="W39">
        <v>2.265718914941275E-3</v>
      </c>
      <c r="X39">
        <v>8.7057493253508336E-3</v>
      </c>
      <c r="Y39">
        <v>8.051127517286991E-3</v>
      </c>
      <c r="Z39">
        <v>9.9080700958452395E-3</v>
      </c>
      <c r="AA39">
        <v>3.4830193465355465E-2</v>
      </c>
      <c r="AB39">
        <v>1.2646079186223994E-2</v>
      </c>
      <c r="AC39">
        <v>5.5079477257241095E-4</v>
      </c>
      <c r="AD39">
        <v>2.3630703654974449E-3</v>
      </c>
      <c r="AE39">
        <v>2.5115804873958162E-3</v>
      </c>
      <c r="AF39">
        <v>3.0574768883223223E-3</v>
      </c>
      <c r="AG39">
        <v>5.2247703432405342E-3</v>
      </c>
      <c r="AH39">
        <v>7.1492461300941331E-3</v>
      </c>
      <c r="AI39">
        <v>1.2212361034953129E-2</v>
      </c>
      <c r="AJ39">
        <v>7.6541682059661741E-3</v>
      </c>
      <c r="AK39">
        <v>9.0709186117548333E-3</v>
      </c>
      <c r="AL39">
        <v>6.0787479762488751E-2</v>
      </c>
      <c r="AM39">
        <v>3.944362952426865E-2</v>
      </c>
      <c r="AN39">
        <v>1.3261559504373684E-2</v>
      </c>
      <c r="AO39">
        <v>1.6343738266869464E-2</v>
      </c>
      <c r="AP39">
        <v>1.7933428985845958E-2</v>
      </c>
      <c r="AQ39">
        <v>3.0228852170764188E-2</v>
      </c>
    </row>
    <row r="40" spans="1:43" x14ac:dyDescent="0.25">
      <c r="A40" t="s">
        <v>38</v>
      </c>
      <c r="B40">
        <v>2.1257866348987756E-3</v>
      </c>
      <c r="C40">
        <v>1.3970175904356232E-4</v>
      </c>
      <c r="D40">
        <v>1.1377661534898145E-3</v>
      </c>
      <c r="E40">
        <v>4.0616030274414364E-4</v>
      </c>
      <c r="F40">
        <v>4.0420631218767263E-4</v>
      </c>
      <c r="G40">
        <v>3.9134478147277854E-4</v>
      </c>
      <c r="H40">
        <v>2.9591664192009885E-4</v>
      </c>
      <c r="I40">
        <v>2.1681811206107054E-4</v>
      </c>
      <c r="J40">
        <v>3.4842292395597497E-5</v>
      </c>
      <c r="K40">
        <v>6.2573771895041156E-5</v>
      </c>
      <c r="L40">
        <v>4.4686657997117471E-5</v>
      </c>
      <c r="M40">
        <v>5.9818825336866954E-5</v>
      </c>
      <c r="N40">
        <v>8.8939839405556263E-5</v>
      </c>
      <c r="O40">
        <v>2.4849233082380249E-4</v>
      </c>
      <c r="P40">
        <v>1.6908946986197632E-4</v>
      </c>
      <c r="Q40">
        <v>2.2440209656578159E-4</v>
      </c>
      <c r="R40">
        <v>2.1934570916960162E-4</v>
      </c>
      <c r="S40">
        <v>5.9686698775771681E-4</v>
      </c>
      <c r="T40">
        <v>3.6834423723780242E-4</v>
      </c>
      <c r="U40">
        <v>1.217057381137441E-3</v>
      </c>
      <c r="V40">
        <v>4.4448460580733646E-4</v>
      </c>
      <c r="W40">
        <v>4.821172507178883E-4</v>
      </c>
      <c r="X40">
        <v>1.2824572703698464E-3</v>
      </c>
      <c r="Y40">
        <v>4.8913388597101465E-4</v>
      </c>
      <c r="Z40">
        <v>1.100886975812571E-4</v>
      </c>
      <c r="AA40">
        <v>4.1018047455199216E-4</v>
      </c>
      <c r="AB40">
        <v>4.9167528382657694E-4</v>
      </c>
      <c r="AC40">
        <v>2.4396604594035043E-4</v>
      </c>
      <c r="AD40">
        <v>2.0061594437974654E-4</v>
      </c>
      <c r="AE40">
        <v>6.4043499952229962E-4</v>
      </c>
      <c r="AF40">
        <v>3.1081701037956837E-4</v>
      </c>
      <c r="AG40">
        <v>1.5897482326847413E-3</v>
      </c>
      <c r="AH40">
        <v>2.5438090847433012E-4</v>
      </c>
      <c r="AI40">
        <v>1.1933179869290391E-3</v>
      </c>
      <c r="AJ40">
        <v>3.7130242973810941E-4</v>
      </c>
      <c r="AK40">
        <v>7.2060121219169756E-4</v>
      </c>
      <c r="AL40">
        <v>5.7757118310007181E-4</v>
      </c>
      <c r="AM40">
        <v>1.2279011733116443E-3</v>
      </c>
      <c r="AN40">
        <v>1.7233334306243981E-2</v>
      </c>
      <c r="AO40">
        <v>3.4197679428694485E-3</v>
      </c>
      <c r="AP40">
        <v>1.5694876215778626E-3</v>
      </c>
      <c r="AQ40">
        <v>8.0659599464731732E-4</v>
      </c>
    </row>
    <row r="41" spans="1:43" x14ac:dyDescent="0.25">
      <c r="A41" t="s">
        <v>39</v>
      </c>
      <c r="B41">
        <v>5.794865883466091E-4</v>
      </c>
      <c r="C41">
        <v>3.7489526011783264E-4</v>
      </c>
      <c r="D41">
        <v>4.8136379383676223E-4</v>
      </c>
      <c r="E41">
        <v>8.9769741075715985E-5</v>
      </c>
      <c r="F41">
        <v>1.5853152454787855E-4</v>
      </c>
      <c r="G41">
        <v>2.1526432987940372E-4</v>
      </c>
      <c r="H41">
        <v>2.2312963028109072E-4</v>
      </c>
      <c r="I41">
        <v>2.1236473981652858E-4</v>
      </c>
      <c r="J41">
        <v>8.641519176033676E-4</v>
      </c>
      <c r="K41">
        <v>1.1127616470955227E-4</v>
      </c>
      <c r="L41">
        <v>2.9465363708212168E-4</v>
      </c>
      <c r="M41">
        <v>5.744475375659739E-4</v>
      </c>
      <c r="N41">
        <v>7.5682279430410826E-4</v>
      </c>
      <c r="O41">
        <v>7.2609217445431505E-4</v>
      </c>
      <c r="P41">
        <v>3.5569553060412997E-4</v>
      </c>
      <c r="Q41">
        <v>4.4544451830536464E-4</v>
      </c>
      <c r="R41">
        <v>1.3164528722524048E-4</v>
      </c>
      <c r="S41">
        <v>4.1123848093349439E-4</v>
      </c>
      <c r="T41">
        <v>8.4436369735859892E-5</v>
      </c>
      <c r="U41">
        <v>2.0509615278679601E-4</v>
      </c>
      <c r="V41">
        <v>5.0291145847341536E-4</v>
      </c>
      <c r="W41">
        <v>4.2287888774417842E-4</v>
      </c>
      <c r="X41">
        <v>4.0224545059264236E-5</v>
      </c>
      <c r="Y41">
        <v>3.8218277036778146E-4</v>
      </c>
      <c r="Z41">
        <v>1.947149882571989E-5</v>
      </c>
      <c r="AA41">
        <v>2.8236136207459444E-4</v>
      </c>
      <c r="AB41">
        <v>2.0811376668471016E-5</v>
      </c>
      <c r="AC41">
        <v>8.2131671693586904E-5</v>
      </c>
      <c r="AD41">
        <v>8.3288498138059082E-4</v>
      </c>
      <c r="AE41">
        <v>5.9380847198559465E-5</v>
      </c>
      <c r="AF41">
        <v>2.5773714160200167E-5</v>
      </c>
      <c r="AG41">
        <v>4.5876620883852947E-4</v>
      </c>
      <c r="AH41">
        <v>1.0194946231125629E-6</v>
      </c>
      <c r="AI41">
        <v>7.4841923963710489E-6</v>
      </c>
      <c r="AJ41">
        <v>1.0856369706174376E-4</v>
      </c>
      <c r="AK41">
        <v>1.0141653937007208E-4</v>
      </c>
      <c r="AL41">
        <v>2.5795684276609546E-4</v>
      </c>
      <c r="AM41">
        <v>3.2040996654797925E-4</v>
      </c>
      <c r="AN41">
        <v>4.3420493332419784E-5</v>
      </c>
      <c r="AO41">
        <v>7.8702383125911473E-3</v>
      </c>
      <c r="AP41">
        <v>3.1248726685838865E-4</v>
      </c>
      <c r="AQ41">
        <v>2.6423989761061176E-3</v>
      </c>
    </row>
    <row r="42" spans="1:43" x14ac:dyDescent="0.25">
      <c r="A42" t="s">
        <v>40</v>
      </c>
      <c r="B42">
        <v>4.7819530318709197E-4</v>
      </c>
      <c r="C42">
        <v>1.068999468660066E-3</v>
      </c>
      <c r="D42">
        <v>6.1034493273071143E-4</v>
      </c>
      <c r="E42">
        <v>3.7290254211551794E-4</v>
      </c>
      <c r="F42">
        <v>5.818199912471947E-4</v>
      </c>
      <c r="G42">
        <v>8.0030183179560365E-4</v>
      </c>
      <c r="H42">
        <v>6.7552203143974915E-4</v>
      </c>
      <c r="I42">
        <v>8.0362900557969332E-4</v>
      </c>
      <c r="J42">
        <v>2.1373706112996673E-4</v>
      </c>
      <c r="K42">
        <v>6.4273642741759468E-4</v>
      </c>
      <c r="L42">
        <v>5.3065267598451603E-4</v>
      </c>
      <c r="M42">
        <v>4.8669508717580796E-4</v>
      </c>
      <c r="N42">
        <v>1.2150659218650385E-3</v>
      </c>
      <c r="O42">
        <v>8.7152581997338243E-4</v>
      </c>
      <c r="P42">
        <v>3.2562101478788007E-4</v>
      </c>
      <c r="Q42">
        <v>5.8808975175585166E-4</v>
      </c>
      <c r="R42">
        <v>5.2538551033033285E-4</v>
      </c>
      <c r="S42">
        <v>7.2524247672274003E-4</v>
      </c>
      <c r="T42">
        <v>3.7507386174719028E-4</v>
      </c>
      <c r="U42">
        <v>5.7887140667909232E-4</v>
      </c>
      <c r="V42">
        <v>5.0200516834254371E-4</v>
      </c>
      <c r="W42">
        <v>1.3344167077744312E-4</v>
      </c>
      <c r="X42">
        <v>3.7217385456888145E-3</v>
      </c>
      <c r="Y42">
        <v>4.138492516785886E-4</v>
      </c>
      <c r="Z42">
        <v>5.3706591144573386E-4</v>
      </c>
      <c r="AA42">
        <v>1.1074014462334105E-3</v>
      </c>
      <c r="AB42">
        <v>8.0835038204086845E-4</v>
      </c>
      <c r="AC42">
        <v>8.0316879954259911E-5</v>
      </c>
      <c r="AD42">
        <v>2.0252933650281667E-4</v>
      </c>
      <c r="AE42">
        <v>8.8298742144949337E-4</v>
      </c>
      <c r="AF42">
        <v>1.7379703785455295E-3</v>
      </c>
      <c r="AG42">
        <v>8.9583982980567269E-4</v>
      </c>
      <c r="AH42">
        <v>3.7459091317650165E-4</v>
      </c>
      <c r="AI42">
        <v>2.6546470645622499E-4</v>
      </c>
      <c r="AJ42">
        <v>3.9832374404156075E-4</v>
      </c>
      <c r="AK42">
        <v>8.0288240896862447E-4</v>
      </c>
      <c r="AL42">
        <v>3.8302682331105926E-4</v>
      </c>
      <c r="AM42">
        <v>1.4937257440747458E-3</v>
      </c>
      <c r="AN42">
        <v>3.9168694253507181E-3</v>
      </c>
      <c r="AO42">
        <v>6.5606805344394946E-4</v>
      </c>
      <c r="AP42">
        <v>5.6957198466867698E-2</v>
      </c>
      <c r="AQ42">
        <v>6.3950601011848488E-3</v>
      </c>
    </row>
    <row r="43" spans="1:43" x14ac:dyDescent="0.25">
      <c r="A43" t="s">
        <v>41</v>
      </c>
      <c r="B43">
        <v>1.7002233980378071E-4</v>
      </c>
      <c r="C43">
        <v>3.5605370973831098E-4</v>
      </c>
      <c r="D43">
        <v>3.1777433464730113E-4</v>
      </c>
      <c r="E43">
        <v>1.5090564020772419E-4</v>
      </c>
      <c r="F43">
        <v>2.5529539166652804E-4</v>
      </c>
      <c r="G43">
        <v>2.192707132507548E-4</v>
      </c>
      <c r="H43">
        <v>1.8284225768135169E-4</v>
      </c>
      <c r="I43">
        <v>2.004559169155018E-4</v>
      </c>
      <c r="J43">
        <v>7.1480831238059396E-5</v>
      </c>
      <c r="K43">
        <v>2.0903332105110596E-4</v>
      </c>
      <c r="L43">
        <v>1.1396476173668338E-4</v>
      </c>
      <c r="M43">
        <v>2.7247598272218948E-4</v>
      </c>
      <c r="N43">
        <v>2.7167878798788325E-4</v>
      </c>
      <c r="O43">
        <v>2.6667915601619348E-4</v>
      </c>
      <c r="P43">
        <v>1.4560841648621705E-4</v>
      </c>
      <c r="Q43">
        <v>1.3875910980899517E-4</v>
      </c>
      <c r="R43">
        <v>1.6885712406133281E-4</v>
      </c>
      <c r="S43">
        <v>1.6401814537463438E-4</v>
      </c>
      <c r="T43">
        <v>6.3152352691271836E-4</v>
      </c>
      <c r="U43">
        <v>3.6379780316263927E-4</v>
      </c>
      <c r="V43">
        <v>1.8705305899349096E-4</v>
      </c>
      <c r="W43">
        <v>1.4860636215121201E-4</v>
      </c>
      <c r="X43">
        <v>5.2705426625420195E-4</v>
      </c>
      <c r="Y43">
        <v>8.5894923905502262E-5</v>
      </c>
      <c r="Z43">
        <v>9.2719538545012667E-5</v>
      </c>
      <c r="AA43">
        <v>1.7180492014407461E-4</v>
      </c>
      <c r="AB43">
        <v>1.8457228687144124E-4</v>
      </c>
      <c r="AC43">
        <v>2.0854046212671258E-4</v>
      </c>
      <c r="AD43">
        <v>1.5049494824618861E-4</v>
      </c>
      <c r="AE43">
        <v>9.0385173991406484E-5</v>
      </c>
      <c r="AF43">
        <v>1.9071355240793124E-4</v>
      </c>
      <c r="AG43">
        <v>5.4085458005205913E-4</v>
      </c>
      <c r="AH43">
        <v>5.592297377546349E-4</v>
      </c>
      <c r="AI43">
        <v>6.7893205076012162E-4</v>
      </c>
      <c r="AJ43">
        <v>4.1782399230884458E-4</v>
      </c>
      <c r="AK43">
        <v>5.6756868184512795E-4</v>
      </c>
      <c r="AL43">
        <v>7.2757869503436632E-4</v>
      </c>
      <c r="AM43">
        <v>2.9148076722657084E-4</v>
      </c>
      <c r="AN43">
        <v>5.3778425089180822E-4</v>
      </c>
      <c r="AO43">
        <v>1.9813691790549233E-4</v>
      </c>
      <c r="AP43">
        <v>6.1186599764303205E-4</v>
      </c>
      <c r="AQ43">
        <v>7.2040583033529662E-3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FDC7-841D-46B7-985D-FBB5F0A01245}">
  <dimension ref="A1:AQ43"/>
  <sheetViews>
    <sheetView zoomScale="59" zoomScaleNormal="59" workbookViewId="0">
      <selection activeCell="V55" sqref="V55"/>
    </sheetView>
  </sheetViews>
  <sheetFormatPr defaultRowHeight="15" x14ac:dyDescent="0.25"/>
  <sheetData>
    <row r="1" spans="1:4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25">
      <c r="A2" t="s">
        <v>0</v>
      </c>
      <c r="B2">
        <v>0.10282648405610652</v>
      </c>
      <c r="C2">
        <v>3.6831212738832648E-4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1.8097412413278003E-6</v>
      </c>
      <c r="K2">
        <v>4.8023879192690816E-5</v>
      </c>
      <c r="L2">
        <v>9.189178352563819E-2</v>
      </c>
      <c r="M2">
        <v>1.7105763404356446E-5</v>
      </c>
      <c r="N2">
        <v>0</v>
      </c>
      <c r="O2">
        <v>0</v>
      </c>
      <c r="P2">
        <v>0</v>
      </c>
      <c r="Q2">
        <v>0</v>
      </c>
      <c r="R2">
        <v>1.8593266102674294E-9</v>
      </c>
      <c r="S2">
        <v>0</v>
      </c>
      <c r="T2">
        <v>9.4384338109655741E-7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8.3318850686978109E-8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25">
      <c r="A3" t="s">
        <v>1</v>
      </c>
      <c r="B3">
        <v>5.4011231240925962E-6</v>
      </c>
      <c r="C3">
        <v>6.8664834903687348E-3</v>
      </c>
      <c r="D3">
        <v>1.1179419556011242E-4</v>
      </c>
      <c r="E3">
        <v>2.3809075101391745E-5</v>
      </c>
      <c r="F3">
        <v>9.7680050911223703E-6</v>
      </c>
      <c r="G3">
        <v>1.8994428134368535E-5</v>
      </c>
      <c r="H3">
        <v>2.0768098270533889E-4</v>
      </c>
      <c r="I3">
        <v>3.5273057496456456E-4</v>
      </c>
      <c r="J3">
        <v>4.7610260347736445E-5</v>
      </c>
      <c r="K3">
        <v>1.3995489139322908E-4</v>
      </c>
      <c r="L3">
        <v>4.910698546100267E-5</v>
      </c>
      <c r="M3">
        <v>1.5933796134828107E-4</v>
      </c>
      <c r="N3">
        <v>2.8467561522214631E-4</v>
      </c>
      <c r="O3">
        <v>6.2382022876103114E-4</v>
      </c>
      <c r="P3">
        <v>5.0260629380545247E-4</v>
      </c>
      <c r="Q3">
        <v>1.2154908455811728E-3</v>
      </c>
      <c r="R3">
        <v>1.297649882871714E-3</v>
      </c>
      <c r="S3">
        <v>9.4778870522136164E-4</v>
      </c>
      <c r="T3">
        <v>2.5750006203489043E-4</v>
      </c>
      <c r="U3">
        <v>3.5683502490912177E-6</v>
      </c>
      <c r="V3">
        <v>1.4925307714025592E-6</v>
      </c>
      <c r="W3">
        <v>3.4354513313040904E-7</v>
      </c>
      <c r="X3">
        <v>6.0807520940290066E-7</v>
      </c>
      <c r="Y3">
        <v>2.0594183390429502E-4</v>
      </c>
      <c r="Z3">
        <v>3.3629859202924126E-7</v>
      </c>
      <c r="AA3">
        <v>3.8416643411250092E-7</v>
      </c>
      <c r="AB3">
        <v>2.4281315466741166E-6</v>
      </c>
      <c r="AC3">
        <v>9.5999566706821154E-7</v>
      </c>
      <c r="AD3">
        <v>1.3047074670392567E-6</v>
      </c>
      <c r="AE3">
        <v>5.5018155110090516E-7</v>
      </c>
      <c r="AF3">
        <v>4.238667506177665E-7</v>
      </c>
      <c r="AG3">
        <v>3.2181766917873721E-7</v>
      </c>
      <c r="AH3">
        <v>5.3727409440016184E-6</v>
      </c>
      <c r="AI3">
        <v>7.5751066584958399E-7</v>
      </c>
      <c r="AJ3">
        <v>1.0313844699603063E-4</v>
      </c>
      <c r="AK3">
        <v>3.033167275962337E-6</v>
      </c>
      <c r="AL3">
        <v>8.630363573024084E-6</v>
      </c>
      <c r="AM3">
        <v>8.960663275851253E-7</v>
      </c>
      <c r="AN3">
        <v>3.8359298583305068E-6</v>
      </c>
      <c r="AO3">
        <v>6.1521254543337629E-7</v>
      </c>
      <c r="AP3">
        <v>4.3720752395774613E-7</v>
      </c>
      <c r="AQ3">
        <v>3.8048035373772148E-7</v>
      </c>
    </row>
    <row r="4" spans="1:43" x14ac:dyDescent="0.25">
      <c r="A4" t="s">
        <v>2</v>
      </c>
      <c r="B4">
        <v>8.8170777012447817E-6</v>
      </c>
      <c r="C4">
        <v>7.5435671617217481E-3</v>
      </c>
      <c r="D4">
        <v>2.7975735176032444E-3</v>
      </c>
      <c r="E4">
        <v>1.8097203907011837E-6</v>
      </c>
      <c r="F4">
        <v>4.4027395558688727E-6</v>
      </c>
      <c r="G4">
        <v>6.0016541472143208E-6</v>
      </c>
      <c r="H4">
        <v>2.5526876476105396E-6</v>
      </c>
      <c r="I4">
        <v>3.8941693941842159E-4</v>
      </c>
      <c r="J4">
        <v>9.9870870101930894E-7</v>
      </c>
      <c r="K4">
        <v>4.7495718482149334E-3</v>
      </c>
      <c r="L4">
        <v>1.6909797665917649E-5</v>
      </c>
      <c r="M4">
        <v>7.1675450752036452E-5</v>
      </c>
      <c r="N4">
        <v>9.0758553997670803E-7</v>
      </c>
      <c r="O4">
        <v>2.2476799349536294E-6</v>
      </c>
      <c r="P4">
        <v>2.6158202820801718E-5</v>
      </c>
      <c r="Q4">
        <v>3.2107055343766225E-4</v>
      </c>
      <c r="R4">
        <v>2.9871327867035441E-7</v>
      </c>
      <c r="S4">
        <v>3.4410013847660639E-4</v>
      </c>
      <c r="T4">
        <v>2.7092680292533556E-5</v>
      </c>
      <c r="U4">
        <v>2.3560950037877088E-6</v>
      </c>
      <c r="V4">
        <v>4.4758733354346853E-7</v>
      </c>
      <c r="W4">
        <v>0</v>
      </c>
      <c r="X4">
        <v>0</v>
      </c>
      <c r="Y4">
        <v>3.5517885809275049E-4</v>
      </c>
      <c r="Z4">
        <v>2.0076061943712074E-8</v>
      </c>
      <c r="AA4">
        <v>1.9385289911461361E-8</v>
      </c>
      <c r="AB4">
        <v>7.6491213862929987E-9</v>
      </c>
      <c r="AC4">
        <v>7.2987511298148452E-7</v>
      </c>
      <c r="AD4">
        <v>3.9874547155213443E-7</v>
      </c>
      <c r="AE4">
        <v>1.5244065942137013E-5</v>
      </c>
      <c r="AF4">
        <v>3.9973864531171988E-11</v>
      </c>
      <c r="AG4">
        <v>4.9320534752741442E-10</v>
      </c>
      <c r="AH4">
        <v>7.4138548872035937E-7</v>
      </c>
      <c r="AI4">
        <v>1.0721197629151222E-9</v>
      </c>
      <c r="AJ4">
        <v>2.417401286743804E-7</v>
      </c>
      <c r="AK4">
        <v>1.1247482515973531E-8</v>
      </c>
      <c r="AL4">
        <v>4.655512726489851E-8</v>
      </c>
      <c r="AM4">
        <v>9.9591802285067131E-9</v>
      </c>
      <c r="AN4">
        <v>1.1709827381574416E-7</v>
      </c>
      <c r="AO4">
        <v>1.402183882612033E-9</v>
      </c>
      <c r="AP4">
        <v>1.4546100449690968E-8</v>
      </c>
      <c r="AQ4">
        <v>4.649314006286059E-9</v>
      </c>
    </row>
    <row r="5" spans="1:43" x14ac:dyDescent="0.25">
      <c r="A5" t="s">
        <v>3</v>
      </c>
      <c r="B5">
        <v>3.6293551044936592E-7</v>
      </c>
      <c r="C5">
        <v>2.6659761109034033E-7</v>
      </c>
      <c r="D5">
        <v>3.8134065334713876E-7</v>
      </c>
      <c r="E5">
        <v>2.7277332566059753E-2</v>
      </c>
      <c r="F5">
        <v>3.5159530473612035E-7</v>
      </c>
      <c r="G5">
        <v>2.2732933099255462E-3</v>
      </c>
      <c r="H5">
        <v>5.3285892225540391E-7</v>
      </c>
      <c r="I5">
        <v>6.9277495144632288E-7</v>
      </c>
      <c r="J5">
        <v>1.5818464823068358E-7</v>
      </c>
      <c r="K5">
        <v>7.1054653657383283E-4</v>
      </c>
      <c r="L5">
        <v>5.0671696242742327E-7</v>
      </c>
      <c r="M5">
        <v>3.0016695325164801E-7</v>
      </c>
      <c r="N5">
        <v>4.9794055535920822E-7</v>
      </c>
      <c r="O5">
        <v>3.4490867390752787E-7</v>
      </c>
      <c r="P5">
        <v>3.3044859273419394E-7</v>
      </c>
      <c r="Q5">
        <v>3.9108959867272687E-7</v>
      </c>
      <c r="R5">
        <v>8.9467029436728165E-7</v>
      </c>
      <c r="S5">
        <v>2.9425560392003382E-7</v>
      </c>
      <c r="T5">
        <v>6.8346955240677925E-6</v>
      </c>
      <c r="U5">
        <v>1.9784034742158653E-7</v>
      </c>
      <c r="V5">
        <v>4.3834757307725426E-7</v>
      </c>
      <c r="W5">
        <v>2.9015166387627569E-7</v>
      </c>
      <c r="X5">
        <v>6.805532003466646E-7</v>
      </c>
      <c r="Y5">
        <v>2.8028996302384975E-7</v>
      </c>
      <c r="Z5">
        <v>2.3166126941913779E-7</v>
      </c>
      <c r="AA5">
        <v>1.3949293758759366E-6</v>
      </c>
      <c r="AB5">
        <v>2.114377547007391E-3</v>
      </c>
      <c r="AC5">
        <v>4.5408874028948613E-4</v>
      </c>
      <c r="AD5">
        <v>1.8819100159150809E-7</v>
      </c>
      <c r="AE5">
        <v>1.7518061420210523E-7</v>
      </c>
      <c r="AF5">
        <v>1.197145647727351E-6</v>
      </c>
      <c r="AG5">
        <v>2.4052610070206563E-7</v>
      </c>
      <c r="AH5">
        <v>3.0277377774117156E-7</v>
      </c>
      <c r="AI5">
        <v>5.443761223053E-5</v>
      </c>
      <c r="AJ5">
        <v>2.8878504012693038E-6</v>
      </c>
      <c r="AK5">
        <v>3.3355217418379547E-7</v>
      </c>
      <c r="AL5">
        <v>1.6702530837842769E-5</v>
      </c>
      <c r="AM5">
        <v>3.0532442570532148E-5</v>
      </c>
      <c r="AN5">
        <v>5.5784770708124558E-5</v>
      </c>
      <c r="AO5">
        <v>9.5525868368939544E-5</v>
      </c>
      <c r="AP5">
        <v>4.4848951765437968E-5</v>
      </c>
      <c r="AQ5">
        <v>3.0520403308920085E-7</v>
      </c>
    </row>
    <row r="6" spans="1:43" x14ac:dyDescent="0.25">
      <c r="A6" t="s">
        <v>4</v>
      </c>
      <c r="B6">
        <v>5.7859040920775416E-6</v>
      </c>
      <c r="C6">
        <v>3.2020622949303831E-5</v>
      </c>
      <c r="D6">
        <v>4.6522251406053798E-5</v>
      </c>
      <c r="E6">
        <v>5.3479412653457643E-5</v>
      </c>
      <c r="F6">
        <v>1.4825450404658156E-2</v>
      </c>
      <c r="G6">
        <v>5.5332742854859061E-3</v>
      </c>
      <c r="H6">
        <v>5.1851467241682727E-4</v>
      </c>
      <c r="I6">
        <v>2.6584844912994955E-4</v>
      </c>
      <c r="J6">
        <v>1.5709404345229359E-6</v>
      </c>
      <c r="K6">
        <v>1.0818816334155477E-4</v>
      </c>
      <c r="L6">
        <v>5.5540005375083344E-6</v>
      </c>
      <c r="M6">
        <v>2.6578420815763541E-5</v>
      </c>
      <c r="N6">
        <v>7.401887478823997E-5</v>
      </c>
      <c r="O6">
        <v>2.7945905921534863E-4</v>
      </c>
      <c r="P6">
        <v>1.34443291987538E-4</v>
      </c>
      <c r="Q6">
        <v>9.1861099445641046E-5</v>
      </c>
      <c r="R6">
        <v>6.3059820629100948E-5</v>
      </c>
      <c r="S6">
        <v>2.1147255102639855E-5</v>
      </c>
      <c r="T6">
        <v>2.3703618685942429E-4</v>
      </c>
      <c r="U6">
        <v>2.6867678332195504E-5</v>
      </c>
      <c r="V6">
        <v>9.4480943047296827E-8</v>
      </c>
      <c r="W6">
        <v>7.2708214976169897E-8</v>
      </c>
      <c r="X6">
        <v>1.9320042684770945E-5</v>
      </c>
      <c r="Y6">
        <v>4.27880669517282E-6</v>
      </c>
      <c r="Z6">
        <v>1.0206032398398007E-7</v>
      </c>
      <c r="AA6">
        <v>1.6101597950242777E-5</v>
      </c>
      <c r="AB6">
        <v>7.7428042508205087E-6</v>
      </c>
      <c r="AC6">
        <v>2.4288051660048223E-7</v>
      </c>
      <c r="AD6">
        <v>2.3526142040187465E-6</v>
      </c>
      <c r="AE6">
        <v>6.825023124939597E-7</v>
      </c>
      <c r="AF6">
        <v>3.6727449768881443E-7</v>
      </c>
      <c r="AG6">
        <v>7.9303801469970235E-8</v>
      </c>
      <c r="AH6">
        <v>1.8692712727541909E-7</v>
      </c>
      <c r="AI6">
        <v>4.3817120528545368E-6</v>
      </c>
      <c r="AJ6">
        <v>1.0540277814676965E-6</v>
      </c>
      <c r="AK6">
        <v>8.128847913434043E-6</v>
      </c>
      <c r="AL6">
        <v>1.118253492304329E-5</v>
      </c>
      <c r="AM6">
        <v>9.4057503090604187E-6</v>
      </c>
      <c r="AN6">
        <v>6.9942638731461562E-6</v>
      </c>
      <c r="AO6">
        <v>2.2210106779546199E-5</v>
      </c>
      <c r="AP6">
        <v>5.0160439514904513E-6</v>
      </c>
      <c r="AQ6">
        <v>2.5792401686473477E-6</v>
      </c>
    </row>
    <row r="7" spans="1:43" x14ac:dyDescent="0.25">
      <c r="A7" t="s">
        <v>5</v>
      </c>
      <c r="B7">
        <v>4.2202963435364071E-8</v>
      </c>
      <c r="C7">
        <v>7.1186156652533676E-7</v>
      </c>
      <c r="D7">
        <v>6.752489964226241E-7</v>
      </c>
      <c r="E7">
        <v>3.3077929538479996E-7</v>
      </c>
      <c r="F7">
        <v>3.2951599851349326E-6</v>
      </c>
      <c r="G7">
        <v>4.6544911586152487E-3</v>
      </c>
      <c r="H7">
        <v>2.3192661947269734E-4</v>
      </c>
      <c r="I7">
        <v>8.3151112648789891E-5</v>
      </c>
      <c r="J7">
        <v>2.399330512457923E-8</v>
      </c>
      <c r="K7">
        <v>3.0745592766803727E-6</v>
      </c>
      <c r="L7">
        <v>1.6106819060383147E-7</v>
      </c>
      <c r="M7">
        <v>5.3299287946113389E-6</v>
      </c>
      <c r="N7">
        <v>3.6809411052129607E-6</v>
      </c>
      <c r="O7">
        <v>2.1107159774684531E-6</v>
      </c>
      <c r="P7">
        <v>1.4976899950784525E-5</v>
      </c>
      <c r="Q7">
        <v>6.4273081210535678E-7</v>
      </c>
      <c r="R7">
        <v>1.6700860090385295E-6</v>
      </c>
      <c r="S7">
        <v>7.7522872422808021E-5</v>
      </c>
      <c r="T7">
        <v>9.2152795794895412E-6</v>
      </c>
      <c r="U7">
        <v>1.2657168590794965E-7</v>
      </c>
      <c r="V7">
        <v>3.2569756345200093E-8</v>
      </c>
      <c r="W7">
        <v>8.1554302289471002E-9</v>
      </c>
      <c r="X7">
        <v>9.5163097621986019E-8</v>
      </c>
      <c r="Y7">
        <v>5.6612361551395765E-7</v>
      </c>
      <c r="Z7">
        <v>7.75812789170072E-9</v>
      </c>
      <c r="AA7">
        <v>1.1379099704198552E-7</v>
      </c>
      <c r="AB7">
        <v>4.6915843656093337E-7</v>
      </c>
      <c r="AC7">
        <v>6.4023869199143805E-8</v>
      </c>
      <c r="AD7">
        <v>2.6814033354559235E-7</v>
      </c>
      <c r="AE7">
        <v>1.0430425281885159E-7</v>
      </c>
      <c r="AF7">
        <v>6.2991651003002057E-9</v>
      </c>
      <c r="AG7">
        <v>9.0083524089612481E-8</v>
      </c>
      <c r="AH7">
        <v>1.6131808408744663E-8</v>
      </c>
      <c r="AI7">
        <v>8.5402928296050725E-8</v>
      </c>
      <c r="AJ7">
        <v>7.2917486686483854E-8</v>
      </c>
      <c r="AK7">
        <v>1.5103741210046056E-7</v>
      </c>
      <c r="AL7">
        <v>1.5724401300321184E-7</v>
      </c>
      <c r="AM7">
        <v>3.2841741952716258E-7</v>
      </c>
      <c r="AN7">
        <v>6.3917329242319587E-8</v>
      </c>
      <c r="AO7">
        <v>1.3034593390310705E-7</v>
      </c>
      <c r="AP7">
        <v>5.8348956729865395E-6</v>
      </c>
      <c r="AQ7">
        <v>6.4164799904157212E-6</v>
      </c>
    </row>
    <row r="8" spans="1:43" x14ac:dyDescent="0.25">
      <c r="A8" t="s">
        <v>6</v>
      </c>
      <c r="B8">
        <v>5.3124860945256696E-6</v>
      </c>
      <c r="C8">
        <v>6.8327726637844369E-6</v>
      </c>
      <c r="D8">
        <v>2.3204921743532376E-6</v>
      </c>
      <c r="E8">
        <v>1.0388966746957316E-5</v>
      </c>
      <c r="F8">
        <v>2.6425983943233072E-6</v>
      </c>
      <c r="G8">
        <v>3.4948031356583729E-6</v>
      </c>
      <c r="H8">
        <v>2.0542177937803545E-2</v>
      </c>
      <c r="I8">
        <v>3.1895984140663364E-3</v>
      </c>
      <c r="J8">
        <v>5.0286537141685143E-7</v>
      </c>
      <c r="K8">
        <v>4.4759789947749977E-6</v>
      </c>
      <c r="L8">
        <v>4.4124694048481691E-7</v>
      </c>
      <c r="M8">
        <v>2.1198887607056471E-5</v>
      </c>
      <c r="N8">
        <v>6.7615586777101428E-6</v>
      </c>
      <c r="O8">
        <v>3.6294005344933109E-5</v>
      </c>
      <c r="P8">
        <v>1.7369747480310964E-4</v>
      </c>
      <c r="Q8">
        <v>3.0312157849869085E-6</v>
      </c>
      <c r="R8">
        <v>1.9846849870980484E-6</v>
      </c>
      <c r="S8">
        <v>4.8983232835728594E-6</v>
      </c>
      <c r="T8">
        <v>1.9747650229323092E-5</v>
      </c>
      <c r="U8">
        <v>2.0371060259055478E-6</v>
      </c>
      <c r="V8">
        <v>3.9775691403693409E-7</v>
      </c>
      <c r="W8">
        <v>3.0876156093003319E-8</v>
      </c>
      <c r="X8">
        <v>2.1358305405492921E-7</v>
      </c>
      <c r="Y8">
        <v>7.3458303470496332E-5</v>
      </c>
      <c r="Z8">
        <v>1.7965951002978534E-7</v>
      </c>
      <c r="AA8">
        <v>3.9897233331157045E-7</v>
      </c>
      <c r="AB8">
        <v>8.6167159840523511E-7</v>
      </c>
      <c r="AC8">
        <v>9.9217470535579454E-7</v>
      </c>
      <c r="AD8">
        <v>3.8571723325307244E-5</v>
      </c>
      <c r="AE8">
        <v>6.5683620253632229E-8</v>
      </c>
      <c r="AF8">
        <v>5.9251409857540603E-8</v>
      </c>
      <c r="AG8">
        <v>7.329645021149039E-8</v>
      </c>
      <c r="AH8">
        <v>2.491188965875036E-7</v>
      </c>
      <c r="AI8">
        <v>1.3566083376230431E-7</v>
      </c>
      <c r="AJ8">
        <v>3.4553462044409249E-8</v>
      </c>
      <c r="AK8">
        <v>1.088812971780321E-5</v>
      </c>
      <c r="AL8">
        <v>6.2479373344214049E-6</v>
      </c>
      <c r="AM8">
        <v>1.3792520474013652E-6</v>
      </c>
      <c r="AN8">
        <v>2.6682948556714367E-7</v>
      </c>
      <c r="AO8">
        <v>4.7981525600298845E-7</v>
      </c>
      <c r="AP8">
        <v>2.0442174799330176E-6</v>
      </c>
      <c r="AQ8">
        <v>4.3292237750310187E-6</v>
      </c>
    </row>
    <row r="9" spans="1:43" x14ac:dyDescent="0.25">
      <c r="A9" t="s">
        <v>7</v>
      </c>
      <c r="B9">
        <v>2.7045640688207961E-6</v>
      </c>
      <c r="C9">
        <v>3.0026560568504176E-5</v>
      </c>
      <c r="D9">
        <v>4.6506964306239518E-6</v>
      </c>
      <c r="E9">
        <v>1.5380911723222968E-4</v>
      </c>
      <c r="F9">
        <v>8.2180176171265201E-5</v>
      </c>
      <c r="G9">
        <v>1.3324375122385817E-4</v>
      </c>
      <c r="H9">
        <v>3.4041029674144965E-5</v>
      </c>
      <c r="I9">
        <v>4.6980805977702066E-2</v>
      </c>
      <c r="J9">
        <v>5.2019101483374345E-7</v>
      </c>
      <c r="K9">
        <v>3.717849725731982E-4</v>
      </c>
      <c r="L9">
        <v>2.0087072212585036E-6</v>
      </c>
      <c r="M9">
        <v>1.3503432840604453E-5</v>
      </c>
      <c r="N9">
        <v>2.2127154037508253E-5</v>
      </c>
      <c r="O9">
        <v>6.7118878843757415E-5</v>
      </c>
      <c r="P9">
        <v>1.2051090854219525E-5</v>
      </c>
      <c r="Q9">
        <v>2.2039294010740075E-4</v>
      </c>
      <c r="R9">
        <v>4.9800220933444991E-5</v>
      </c>
      <c r="S9">
        <v>7.6797767899653563E-5</v>
      </c>
      <c r="T9">
        <v>1.0373818701262639E-5</v>
      </c>
      <c r="U9">
        <v>2.3188823210723257E-6</v>
      </c>
      <c r="V9">
        <v>9.3466426132666999E-7</v>
      </c>
      <c r="W9">
        <v>5.3638037550442265E-7</v>
      </c>
      <c r="X9">
        <v>1.5937758862380894E-6</v>
      </c>
      <c r="Y9">
        <v>1.6135173811818105E-5</v>
      </c>
      <c r="Z9">
        <v>4.8535031502889814E-6</v>
      </c>
      <c r="AA9">
        <v>5.2353522954246793E-5</v>
      </c>
      <c r="AB9">
        <v>7.6562158886059654E-6</v>
      </c>
      <c r="AC9">
        <v>1.3869910897051025E-5</v>
      </c>
      <c r="AD9">
        <v>1.4201463576421008E-6</v>
      </c>
      <c r="AE9">
        <v>7.3963461168267167E-7</v>
      </c>
      <c r="AF9">
        <v>1.6610790977019768E-5</v>
      </c>
      <c r="AG9">
        <v>1.9194106334014567E-5</v>
      </c>
      <c r="AH9">
        <v>4.0560449075198294E-6</v>
      </c>
      <c r="AI9">
        <v>1.0891894372604692E-4</v>
      </c>
      <c r="AJ9">
        <v>4.5837044880819649E-6</v>
      </c>
      <c r="AK9">
        <v>6.2264837200455661E-5</v>
      </c>
      <c r="AL9">
        <v>3.2816812221799637E-6</v>
      </c>
      <c r="AM9">
        <v>7.3219521474235827E-5</v>
      </c>
      <c r="AN9">
        <v>5.3471409859312705E-5</v>
      </c>
      <c r="AO9">
        <v>6.0657712532732387E-6</v>
      </c>
      <c r="AP9">
        <v>1.2047603479232452E-3</v>
      </c>
      <c r="AQ9">
        <v>3.1862243492951368E-5</v>
      </c>
    </row>
    <row r="10" spans="1:43" x14ac:dyDescent="0.25">
      <c r="A10" t="s">
        <v>8</v>
      </c>
      <c r="B10">
        <v>1.8646258442641387E-4</v>
      </c>
      <c r="C10">
        <v>1.5515927571857244E-3</v>
      </c>
      <c r="D10">
        <v>9.248503974763221E-4</v>
      </c>
      <c r="E10">
        <v>3.1773745065331449E-6</v>
      </c>
      <c r="F10">
        <v>5.3750452581203321E-5</v>
      </c>
      <c r="G10">
        <v>6.5250330674496745E-6</v>
      </c>
      <c r="H10">
        <v>1.1953160702975042E-5</v>
      </c>
      <c r="I10">
        <v>1.1385808278255244E-4</v>
      </c>
      <c r="J10">
        <v>8.5564965843366834E-3</v>
      </c>
      <c r="K10">
        <v>1.3869007513636849E-2</v>
      </c>
      <c r="L10">
        <v>3.6252261040663707E-4</v>
      </c>
      <c r="M10">
        <v>2.2230236859125709E-5</v>
      </c>
      <c r="N10">
        <v>3.8499330064430064E-5</v>
      </c>
      <c r="O10">
        <v>2.3474476092569726E-4</v>
      </c>
      <c r="P10">
        <v>4.748912726469062E-5</v>
      </c>
      <c r="Q10">
        <v>1.1956885507778272E-5</v>
      </c>
      <c r="R10">
        <v>3.70528261518196E-5</v>
      </c>
      <c r="S10">
        <v>1.8442000426824331E-4</v>
      </c>
      <c r="T10">
        <v>7.7015565692570631E-6</v>
      </c>
      <c r="U10">
        <v>4.5978197917184314E-4</v>
      </c>
      <c r="V10">
        <v>1.0067122568688954E-3</v>
      </c>
      <c r="W10">
        <v>8.0085901040259228E-3</v>
      </c>
      <c r="X10">
        <v>2.2935836804665661E-6</v>
      </c>
      <c r="Y10">
        <v>3.0381383865119585E-4</v>
      </c>
      <c r="Z10">
        <v>6.0103340584997617E-6</v>
      </c>
      <c r="AA10">
        <v>2.0396336279358799E-4</v>
      </c>
      <c r="AB10">
        <v>4.4759007110353894E-6</v>
      </c>
      <c r="AC10">
        <v>1.1079627909339454E-5</v>
      </c>
      <c r="AD10">
        <v>6.3062066290736132E-6</v>
      </c>
      <c r="AE10">
        <v>9.5177797715191614E-4</v>
      </c>
      <c r="AF10">
        <v>2.1140977734600927E-6</v>
      </c>
      <c r="AG10">
        <v>9.2012609885906317E-6</v>
      </c>
      <c r="AH10">
        <v>3.9722267872163633E-6</v>
      </c>
      <c r="AI10">
        <v>4.5059432344211122E-5</v>
      </c>
      <c r="AJ10">
        <v>4.7608135500569216E-5</v>
      </c>
      <c r="AK10">
        <v>5.7839981617423305E-5</v>
      </c>
      <c r="AL10">
        <v>2.7722823966911655E-5</v>
      </c>
      <c r="AM10">
        <v>8.1106869379401456E-5</v>
      </c>
      <c r="AN10">
        <v>1.3524099945264346E-5</v>
      </c>
      <c r="AO10">
        <v>1.2656257818360173E-6</v>
      </c>
      <c r="AP10">
        <v>7.0988007864633565E-6</v>
      </c>
      <c r="AQ10">
        <v>1.4316067167848913E-5</v>
      </c>
    </row>
    <row r="11" spans="1:43" x14ac:dyDescent="0.25">
      <c r="A11" t="s">
        <v>9</v>
      </c>
      <c r="B11">
        <v>8.1828063961840013E-4</v>
      </c>
      <c r="C11">
        <v>1.5774021778855408E-3</v>
      </c>
      <c r="D11">
        <v>6.9100773332176886E-4</v>
      </c>
      <c r="E11">
        <v>1.189489777888934E-3</v>
      </c>
      <c r="F11">
        <v>5.8632400842986779E-3</v>
      </c>
      <c r="G11">
        <v>3.7409210434936162E-3</v>
      </c>
      <c r="H11">
        <v>3.1173095720669728E-3</v>
      </c>
      <c r="I11">
        <v>5.1705099518297316E-3</v>
      </c>
      <c r="J11">
        <v>2.9542002644085161E-3</v>
      </c>
      <c r="K11">
        <v>5.0678066055845968E-2</v>
      </c>
      <c r="L11">
        <v>5.1781864747656896E-4</v>
      </c>
      <c r="M11">
        <v>3.7306107418096806E-4</v>
      </c>
      <c r="N11">
        <v>1.7456905836973156E-3</v>
      </c>
      <c r="O11">
        <v>3.5245998489121235E-3</v>
      </c>
      <c r="P11">
        <v>3.7388515187999037E-3</v>
      </c>
      <c r="Q11">
        <v>1.0559106357707456E-2</v>
      </c>
      <c r="R11">
        <v>4.8517192527549758E-3</v>
      </c>
      <c r="S11">
        <v>3.700218785350247E-3</v>
      </c>
      <c r="T11">
        <v>2.0737573252976264E-3</v>
      </c>
      <c r="U11">
        <v>3.5667640863139864E-3</v>
      </c>
      <c r="V11">
        <v>4.9283068514690065E-5</v>
      </c>
      <c r="W11">
        <v>8.3791969745914237E-5</v>
      </c>
      <c r="X11">
        <v>3.4645863479442741E-3</v>
      </c>
      <c r="Y11">
        <v>3.235232872966449E-4</v>
      </c>
      <c r="Z11">
        <v>4.3745064473497217E-6</v>
      </c>
      <c r="AA11">
        <v>3.8438986355487487E-5</v>
      </c>
      <c r="AB11">
        <v>6.6024222404093734E-5</v>
      </c>
      <c r="AC11">
        <v>8.6598660256744582E-4</v>
      </c>
      <c r="AD11">
        <v>7.071941555038555E-5</v>
      </c>
      <c r="AE11">
        <v>1.3490681935618331E-4</v>
      </c>
      <c r="AF11">
        <v>5.3381504399820808E-6</v>
      </c>
      <c r="AG11">
        <v>3.8631036460629329E-7</v>
      </c>
      <c r="AH11">
        <v>4.5312596107140945E-6</v>
      </c>
      <c r="AI11">
        <v>1.9997686378819028E-5</v>
      </c>
      <c r="AJ11">
        <v>1.4532988248292986E-3</v>
      </c>
      <c r="AK11">
        <v>1.4255125571667807E-4</v>
      </c>
      <c r="AL11">
        <v>1.0233367991468738E-3</v>
      </c>
      <c r="AM11">
        <v>8.2663831170819504E-4</v>
      </c>
      <c r="AN11">
        <v>1.87912363544043E-5</v>
      </c>
      <c r="AO11">
        <v>1.9808691895011644E-2</v>
      </c>
      <c r="AP11">
        <v>3.4568050036966688E-4</v>
      </c>
      <c r="AQ11">
        <v>4.8399808448958786E-6</v>
      </c>
    </row>
    <row r="12" spans="1:43" x14ac:dyDescent="0.25">
      <c r="A12" t="s">
        <v>10</v>
      </c>
      <c r="B12">
        <v>9.8770351778969278E-4</v>
      </c>
      <c r="C12">
        <v>2.2693269130328111E-4</v>
      </c>
      <c r="D12">
        <v>6.9776582187690612E-5</v>
      </c>
      <c r="E12">
        <v>1.3845260026628276E-6</v>
      </c>
      <c r="F12">
        <v>5.5335751077674189E-6</v>
      </c>
      <c r="G12">
        <v>1.622620050660324E-6</v>
      </c>
      <c r="H12">
        <v>9.2319825646092573E-5</v>
      </c>
      <c r="I12">
        <v>5.515286218233275E-2</v>
      </c>
      <c r="J12">
        <v>8.6525397240300525E-5</v>
      </c>
      <c r="K12">
        <v>1.246029527358543E-3</v>
      </c>
      <c r="L12">
        <v>4.9377491905787385E-2</v>
      </c>
      <c r="M12">
        <v>1.7387081846196289E-2</v>
      </c>
      <c r="N12">
        <v>2.8529614676004156E-3</v>
      </c>
      <c r="O12">
        <v>1.6576519004242577E-3</v>
      </c>
      <c r="P12">
        <v>2.9469441740626371E-3</v>
      </c>
      <c r="Q12">
        <v>6.0788009743185855E-3</v>
      </c>
      <c r="R12">
        <v>8.4820096458030157E-3</v>
      </c>
      <c r="S12">
        <v>1.0079114084246246E-3</v>
      </c>
      <c r="T12">
        <v>1.0647321539798656E-3</v>
      </c>
      <c r="U12">
        <v>1.6018779015652076E-4</v>
      </c>
      <c r="V12">
        <v>4.5358227700550833E-5</v>
      </c>
      <c r="W12">
        <v>1.204647870952607E-6</v>
      </c>
      <c r="X12">
        <v>2.3848958593121894E-6</v>
      </c>
      <c r="Y12">
        <v>3.8913476751112509E-4</v>
      </c>
      <c r="Z12">
        <v>3.6424185255824238E-8</v>
      </c>
      <c r="AA12">
        <v>1.0820645713913384E-6</v>
      </c>
      <c r="AB12">
        <v>2.0929166975385777E-8</v>
      </c>
      <c r="AC12">
        <v>1.5997242860044841E-6</v>
      </c>
      <c r="AD12">
        <v>7.1434666032701993E-5</v>
      </c>
      <c r="AE12">
        <v>5.2170788695908956E-4</v>
      </c>
      <c r="AF12">
        <v>8.2835393306088329E-9</v>
      </c>
      <c r="AG12">
        <v>6.4502134764350844E-11</v>
      </c>
      <c r="AH12">
        <v>9.6099128235624652E-7</v>
      </c>
      <c r="AI12">
        <v>1.5898470075147299E-8</v>
      </c>
      <c r="AJ12">
        <v>1.1574951863191542E-6</v>
      </c>
      <c r="AK12">
        <v>3.153407308888923E-6</v>
      </c>
      <c r="AL12">
        <v>1.9208559111687785E-6</v>
      </c>
      <c r="AM12">
        <v>4.5040062641161238E-7</v>
      </c>
      <c r="AN12">
        <v>1.7714640852441648E-7</v>
      </c>
      <c r="AO12">
        <v>2.4724805268708215E-9</v>
      </c>
      <c r="AP12">
        <v>2.4457584168991142E-8</v>
      </c>
      <c r="AQ12">
        <v>7.6939002468090823E-10</v>
      </c>
    </row>
    <row r="13" spans="1:43" x14ac:dyDescent="0.25">
      <c r="A13" t="s">
        <v>11</v>
      </c>
      <c r="B13">
        <v>5.7255140371116999E-5</v>
      </c>
      <c r="C13">
        <v>4.6573267340861406E-5</v>
      </c>
      <c r="D13">
        <v>9.3501394976487536E-5</v>
      </c>
      <c r="E13">
        <v>1.2051605152223774E-5</v>
      </c>
      <c r="F13">
        <v>4.8424937371750623E-5</v>
      </c>
      <c r="G13">
        <v>2.0995836907713181E-4</v>
      </c>
      <c r="H13">
        <v>1.0503970560409568E-3</v>
      </c>
      <c r="I13">
        <v>1.8062958698106957E-4</v>
      </c>
      <c r="J13">
        <v>4.1434210671177675E-6</v>
      </c>
      <c r="K13">
        <v>5.3264984840684309E-5</v>
      </c>
      <c r="L13">
        <v>1.6057179132879042E-4</v>
      </c>
      <c r="M13">
        <v>1.9843837568316856E-3</v>
      </c>
      <c r="N13">
        <v>1.1209142442420534E-3</v>
      </c>
      <c r="O13">
        <v>9.392464734070755E-4</v>
      </c>
      <c r="P13">
        <v>8.1736035144594249E-4</v>
      </c>
      <c r="Q13">
        <v>4.9124633964636277E-4</v>
      </c>
      <c r="R13">
        <v>2.4114033217615587E-4</v>
      </c>
      <c r="S13">
        <v>5.2137937516527849E-4</v>
      </c>
      <c r="T13">
        <v>1.8755728271852143E-4</v>
      </c>
      <c r="U13">
        <v>6.6116495779970885E-5</v>
      </c>
      <c r="V13">
        <v>1.1552006529902306E-6</v>
      </c>
      <c r="W13">
        <v>1.8538702607733314E-6</v>
      </c>
      <c r="X13">
        <v>4.8877593182228935E-5</v>
      </c>
      <c r="Y13">
        <v>1.8446106536735958E-4</v>
      </c>
      <c r="Z13">
        <v>1.937942036944017E-7</v>
      </c>
      <c r="AA13">
        <v>6.9874961183733485E-6</v>
      </c>
      <c r="AB13">
        <v>1.2252250172140923E-5</v>
      </c>
      <c r="AC13">
        <v>7.8109345731298832E-6</v>
      </c>
      <c r="AD13">
        <v>5.0923101717776129E-5</v>
      </c>
      <c r="AE13">
        <v>3.6168255800925835E-5</v>
      </c>
      <c r="AF13">
        <v>4.1196295139777413E-6</v>
      </c>
      <c r="AG13">
        <v>3.0347467795227506E-8</v>
      </c>
      <c r="AH13">
        <v>2.4998928466230106E-6</v>
      </c>
      <c r="AI13">
        <v>2.1365766194209298E-5</v>
      </c>
      <c r="AJ13">
        <v>1.0945628455296858E-4</v>
      </c>
      <c r="AK13">
        <v>5.5996797108571996E-5</v>
      </c>
      <c r="AL13">
        <v>8.0580671423339999E-5</v>
      </c>
      <c r="AM13">
        <v>5.797946004178608E-5</v>
      </c>
      <c r="AN13">
        <v>8.0707758786469636E-6</v>
      </c>
      <c r="AO13">
        <v>6.4513845248092832E-6</v>
      </c>
      <c r="AP13">
        <v>5.1671450415346358E-5</v>
      </c>
      <c r="AQ13">
        <v>4.0695226670508363E-6</v>
      </c>
    </row>
    <row r="14" spans="1:43" x14ac:dyDescent="0.25">
      <c r="A14" t="s">
        <v>12</v>
      </c>
      <c r="B14">
        <v>6.1128619294828664E-5</v>
      </c>
      <c r="C14">
        <v>7.8321517564053624E-5</v>
      </c>
      <c r="D14">
        <v>5.7146762203964547E-5</v>
      </c>
      <c r="E14">
        <v>1.7683057231167732E-5</v>
      </c>
      <c r="F14">
        <v>3.038379410289417E-5</v>
      </c>
      <c r="G14">
        <v>1.288515270322359E-5</v>
      </c>
      <c r="H14">
        <v>2.7260410867303965E-5</v>
      </c>
      <c r="I14">
        <v>1.1876739184603432E-4</v>
      </c>
      <c r="J14">
        <v>2.2521885255422749E-5</v>
      </c>
      <c r="K14">
        <v>3.6389748878422192E-5</v>
      </c>
      <c r="L14">
        <v>2.6222661798575956E-5</v>
      </c>
      <c r="M14">
        <v>6.2039408792322959E-4</v>
      </c>
      <c r="N14">
        <v>1.4900467120556706E-2</v>
      </c>
      <c r="O14">
        <v>7.6783019924994587E-3</v>
      </c>
      <c r="P14">
        <v>9.8448628181596574E-3</v>
      </c>
      <c r="Q14">
        <v>1.6087440636292814E-3</v>
      </c>
      <c r="R14">
        <v>2.9434156297452756E-4</v>
      </c>
      <c r="S14">
        <v>1.5598574841199097E-3</v>
      </c>
      <c r="T14">
        <v>6.0443564088381906E-4</v>
      </c>
      <c r="U14">
        <v>6.9889842583793259E-3</v>
      </c>
      <c r="V14">
        <v>5.3059578031595531E-5</v>
      </c>
      <c r="W14">
        <v>6.5245002905808553E-6</v>
      </c>
      <c r="X14">
        <v>8.3893022273818713E-6</v>
      </c>
      <c r="Y14">
        <v>6.6034056479526512E-5</v>
      </c>
      <c r="Z14">
        <v>1.0927358678397926E-6</v>
      </c>
      <c r="AA14">
        <v>2.4728237050321973E-5</v>
      </c>
      <c r="AB14">
        <v>8.9947212353035551E-6</v>
      </c>
      <c r="AC14">
        <v>2.1108562903837208E-6</v>
      </c>
      <c r="AD14">
        <v>3.6640039952254478E-5</v>
      </c>
      <c r="AE14">
        <v>3.9664083831978661E-4</v>
      </c>
      <c r="AF14">
        <v>3.5845799338528473E-6</v>
      </c>
      <c r="AG14">
        <v>8.617980769698999E-7</v>
      </c>
      <c r="AH14">
        <v>4.0064116294574066E-7</v>
      </c>
      <c r="AI14">
        <v>2.3782671780933734E-6</v>
      </c>
      <c r="AJ14">
        <v>4.5568738752644631E-5</v>
      </c>
      <c r="AK14">
        <v>8.1793865230432407E-7</v>
      </c>
      <c r="AL14">
        <v>4.6011751503988008E-6</v>
      </c>
      <c r="AM14">
        <v>8.1998697827073653E-4</v>
      </c>
      <c r="AN14">
        <v>3.1204423751889043E-6</v>
      </c>
      <c r="AO14">
        <v>3.3854245086969638E-7</v>
      </c>
      <c r="AP14">
        <v>5.6598434217812637E-6</v>
      </c>
      <c r="AQ14">
        <v>1.964718363856464E-6</v>
      </c>
    </row>
    <row r="15" spans="1:43" x14ac:dyDescent="0.25">
      <c r="A15" t="s">
        <v>13</v>
      </c>
      <c r="B15">
        <v>1.8227216349169892E-5</v>
      </c>
      <c r="C15">
        <v>5.8884272444753722E-5</v>
      </c>
      <c r="D15">
        <v>6.53426796982571E-4</v>
      </c>
      <c r="E15">
        <v>1.5795186023549456E-6</v>
      </c>
      <c r="F15">
        <v>2.9340830441640604E-5</v>
      </c>
      <c r="G15">
        <v>3.9974178608315489E-5</v>
      </c>
      <c r="H15">
        <v>2.376851613996091E-5</v>
      </c>
      <c r="I15">
        <v>2.3560388575471328E-5</v>
      </c>
      <c r="J15">
        <v>2.6689021439281328E-6</v>
      </c>
      <c r="K15">
        <v>6.8581898479245974E-6</v>
      </c>
      <c r="L15">
        <v>6.280163740254677E-5</v>
      </c>
      <c r="M15">
        <v>8.7821667282472941E-5</v>
      </c>
      <c r="N15">
        <v>8.1938049253385916E-4</v>
      </c>
      <c r="O15">
        <v>1.2666187039599156E-2</v>
      </c>
      <c r="P15">
        <v>1.5371390636202995E-4</v>
      </c>
      <c r="Q15">
        <v>2.7783042219220942E-5</v>
      </c>
      <c r="R15">
        <v>6.058664600397521E-4</v>
      </c>
      <c r="S15">
        <v>1.0150385585266021E-4</v>
      </c>
      <c r="T15">
        <v>6.4471993056759579E-6</v>
      </c>
      <c r="U15">
        <v>1.8961583865944893E-4</v>
      </c>
      <c r="V15">
        <v>2.7468422301283211E-7</v>
      </c>
      <c r="W15">
        <v>7.6128386702114652E-8</v>
      </c>
      <c r="X15">
        <v>3.1998276270907835E-6</v>
      </c>
      <c r="Y15">
        <v>5.5803602885911908E-6</v>
      </c>
      <c r="Z15">
        <v>2.3322136018563699E-8</v>
      </c>
      <c r="AA15">
        <v>8.919908972487468E-7</v>
      </c>
      <c r="AB15">
        <v>3.6277479525424852E-7</v>
      </c>
      <c r="AC15">
        <v>7.7629745629576452E-6</v>
      </c>
      <c r="AD15">
        <v>1.6756857524640587E-5</v>
      </c>
      <c r="AE15">
        <v>1.8143310573225151E-4</v>
      </c>
      <c r="AF15">
        <v>2.6472244317135832E-9</v>
      </c>
      <c r="AG15">
        <v>1.512197486752236E-7</v>
      </c>
      <c r="AH15">
        <v>1.5273174666707357E-7</v>
      </c>
      <c r="AI15">
        <v>3.1152520805275527E-6</v>
      </c>
      <c r="AJ15">
        <v>3.4575703954850555E-7</v>
      </c>
      <c r="AK15">
        <v>8.295152289174675E-6</v>
      </c>
      <c r="AL15">
        <v>4.6172850188484952E-6</v>
      </c>
      <c r="AM15">
        <v>5.9125653058943012E-8</v>
      </c>
      <c r="AN15">
        <v>2.4081639919109169E-8</v>
      </c>
      <c r="AO15">
        <v>3.3135319605724673E-3</v>
      </c>
      <c r="AP15">
        <v>3.6946747979913162E-8</v>
      </c>
      <c r="AQ15">
        <v>1.7848089966826371E-6</v>
      </c>
    </row>
    <row r="16" spans="1:43" x14ac:dyDescent="0.25">
      <c r="A16" t="s">
        <v>14</v>
      </c>
      <c r="B16">
        <v>4.0806948922987657E-6</v>
      </c>
      <c r="C16">
        <v>5.2303396108926017E-6</v>
      </c>
      <c r="D16">
        <v>9.5189953568309803E-6</v>
      </c>
      <c r="E16">
        <v>3.0614271412371177E-7</v>
      </c>
      <c r="F16">
        <v>5.5332127023330139E-7</v>
      </c>
      <c r="G16">
        <v>5.1744382437450255E-7</v>
      </c>
      <c r="H16">
        <v>9.0565294187029304E-7</v>
      </c>
      <c r="I16">
        <v>2.2308400174072785E-6</v>
      </c>
      <c r="J16">
        <v>1.5339697298907565E-7</v>
      </c>
      <c r="K16">
        <v>3.7530488778080299E-7</v>
      </c>
      <c r="L16">
        <v>3.0507016248434029E-7</v>
      </c>
      <c r="M16">
        <v>1.0232806755319645E-6</v>
      </c>
      <c r="N16">
        <v>1.6850506994509632E-4</v>
      </c>
      <c r="O16">
        <v>1.9531479334744761E-4</v>
      </c>
      <c r="P16">
        <v>1.3888459244284506E-2</v>
      </c>
      <c r="Q16">
        <v>1.2980377515443867E-5</v>
      </c>
      <c r="R16">
        <v>3.6293865771949953E-6</v>
      </c>
      <c r="S16">
        <v>5.6983687769974624E-6</v>
      </c>
      <c r="T16">
        <v>3.5937956841944765E-7</v>
      </c>
      <c r="U16">
        <v>1.5819296979840767E-3</v>
      </c>
      <c r="V16">
        <v>1.6722509005399131E-7</v>
      </c>
      <c r="W16">
        <v>2.0625101971119115E-7</v>
      </c>
      <c r="X16">
        <v>2.8737271165614407E-7</v>
      </c>
      <c r="Y16">
        <v>1.3203449320666759E-6</v>
      </c>
      <c r="Z16">
        <v>2.1567020340245396E-7</v>
      </c>
      <c r="AA16">
        <v>1.6276711924643127E-4</v>
      </c>
      <c r="AB16">
        <v>6.1626344271807078E-7</v>
      </c>
      <c r="AC16">
        <v>1.856430598754239E-6</v>
      </c>
      <c r="AD16">
        <v>8.4776894228190141E-7</v>
      </c>
      <c r="AE16">
        <v>2.0181846518984733E-7</v>
      </c>
      <c r="AF16">
        <v>2.497143452268564E-7</v>
      </c>
      <c r="AG16">
        <v>3.0144128748439886E-7</v>
      </c>
      <c r="AH16">
        <v>1.4150433227204274E-7</v>
      </c>
      <c r="AI16">
        <v>2.1856888708808715E-5</v>
      </c>
      <c r="AJ16">
        <v>2.9170069291625132E-6</v>
      </c>
      <c r="AK16">
        <v>6.2530880930771005E-6</v>
      </c>
      <c r="AL16">
        <v>1.0123470576123854E-5</v>
      </c>
      <c r="AM16">
        <v>1.1847731352062105E-3</v>
      </c>
      <c r="AN16">
        <v>2.7355016304293326E-7</v>
      </c>
      <c r="AO16">
        <v>1.133577536356285E-6</v>
      </c>
      <c r="AP16">
        <v>4.5050817964936398E-7</v>
      </c>
      <c r="AQ16">
        <v>2.3981527354487173E-6</v>
      </c>
    </row>
    <row r="17" spans="1:43" x14ac:dyDescent="0.25">
      <c r="A17" t="s">
        <v>15</v>
      </c>
      <c r="B17">
        <v>1.7930864596277604E-4</v>
      </c>
      <c r="C17">
        <v>3.3599323697411257E-5</v>
      </c>
      <c r="D17">
        <v>5.9492218200527998E-5</v>
      </c>
      <c r="E17">
        <v>7.4218692666847297E-7</v>
      </c>
      <c r="F17">
        <v>1.8822394702934145E-5</v>
      </c>
      <c r="G17">
        <v>3.2358428662076339E-6</v>
      </c>
      <c r="H17">
        <v>1.6878698856649674E-5</v>
      </c>
      <c r="I17">
        <v>1.4891913053966498E-4</v>
      </c>
      <c r="J17">
        <v>4.8166529029333469E-6</v>
      </c>
      <c r="K17">
        <v>1.0339598209389244E-5</v>
      </c>
      <c r="L17">
        <v>2.2888136677941045E-6</v>
      </c>
      <c r="M17">
        <v>9.5348211643616785E-5</v>
      </c>
      <c r="N17">
        <v>3.0922478963251506E-3</v>
      </c>
      <c r="O17">
        <v>4.0273557785972672E-3</v>
      </c>
      <c r="P17">
        <v>6.4988837327935554E-3</v>
      </c>
      <c r="Q17">
        <v>1.1074714890713972E-2</v>
      </c>
      <c r="R17">
        <v>3.9758770143425385E-3</v>
      </c>
      <c r="S17">
        <v>1.2839001654154476E-2</v>
      </c>
      <c r="T17">
        <v>8.5803984065435017E-4</v>
      </c>
      <c r="U17">
        <v>7.6759015460291257E-4</v>
      </c>
      <c r="V17">
        <v>4.8804727532862776E-4</v>
      </c>
      <c r="W17">
        <v>9.5155043270472051E-7</v>
      </c>
      <c r="X17">
        <v>5.1979651194622027E-5</v>
      </c>
      <c r="Y17">
        <v>2.4725951350994512E-4</v>
      </c>
      <c r="Z17">
        <v>9.6044668252385672E-6</v>
      </c>
      <c r="AA17">
        <v>4.3458128264815396E-6</v>
      </c>
      <c r="AB17">
        <v>8.6404413555224231E-7</v>
      </c>
      <c r="AC17">
        <v>1.4589215919445165E-7</v>
      </c>
      <c r="AD17">
        <v>1.145643756324452E-5</v>
      </c>
      <c r="AE17">
        <v>7.2943679690986771E-5</v>
      </c>
      <c r="AF17">
        <v>1.5033652579809408E-5</v>
      </c>
      <c r="AG17">
        <v>1.2888470459596779E-7</v>
      </c>
      <c r="AH17">
        <v>2.3023212387931E-5</v>
      </c>
      <c r="AI17">
        <v>1.559181258957226E-6</v>
      </c>
      <c r="AJ17">
        <v>5.6347492368551805E-6</v>
      </c>
      <c r="AK17">
        <v>1.9844017884153822E-5</v>
      </c>
      <c r="AL17">
        <v>8.6751375762194604E-6</v>
      </c>
      <c r="AM17">
        <v>1.1999214523861373E-3</v>
      </c>
      <c r="AN17">
        <v>1.0613503083543011E-7</v>
      </c>
      <c r="AO17">
        <v>2.0382608606995873E-6</v>
      </c>
      <c r="AP17">
        <v>1.1252007552806747E-6</v>
      </c>
      <c r="AQ17">
        <v>1.429717514551561E-6</v>
      </c>
    </row>
    <row r="18" spans="1:43" x14ac:dyDescent="0.25">
      <c r="A18" t="s">
        <v>16</v>
      </c>
      <c r="B18">
        <v>3.8229958003633585E-5</v>
      </c>
      <c r="C18">
        <v>1.3586819792980298E-4</v>
      </c>
      <c r="D18">
        <v>1.0827758506397597E-4</v>
      </c>
      <c r="E18">
        <v>4.7659866147834511E-5</v>
      </c>
      <c r="F18">
        <v>4.7884515776033866E-5</v>
      </c>
      <c r="G18">
        <v>3.0888488952436404E-4</v>
      </c>
      <c r="H18">
        <v>1.940004975282952E-4</v>
      </c>
      <c r="I18">
        <v>8.6426922393023262E-4</v>
      </c>
      <c r="J18">
        <v>4.0338680009304492E-6</v>
      </c>
      <c r="K18">
        <v>1.6449914071055998E-4</v>
      </c>
      <c r="L18">
        <v>2.624304411163987E-5</v>
      </c>
      <c r="M18">
        <v>3.0464879317112299E-4</v>
      </c>
      <c r="N18">
        <v>4.8878924341583304E-3</v>
      </c>
      <c r="O18">
        <v>6.7634698652990054E-3</v>
      </c>
      <c r="P18">
        <v>8.9891524517332812E-3</v>
      </c>
      <c r="Q18">
        <v>1.3283059482824584E-2</v>
      </c>
      <c r="R18">
        <v>0.17974628572405613</v>
      </c>
      <c r="S18">
        <v>3.6475217405119109E-2</v>
      </c>
      <c r="T18">
        <v>8.8208177491704042E-4</v>
      </c>
      <c r="U18">
        <v>6.0595430746553515E-4</v>
      </c>
      <c r="V18">
        <v>3.923547886551089E-5</v>
      </c>
      <c r="W18">
        <v>1.4230572936652134E-5</v>
      </c>
      <c r="X18">
        <v>5.4799314102161613E-5</v>
      </c>
      <c r="Y18">
        <v>8.5944767776591669E-4</v>
      </c>
      <c r="Z18">
        <v>1.3781584049995593E-3</v>
      </c>
      <c r="AA18">
        <v>5.9647726630062607E-4</v>
      </c>
      <c r="AB18">
        <v>2.2051233769326286E-4</v>
      </c>
      <c r="AC18">
        <v>7.8505813312876899E-7</v>
      </c>
      <c r="AD18">
        <v>1.051166562640303E-4</v>
      </c>
      <c r="AE18">
        <v>5.1711739447963825E-5</v>
      </c>
      <c r="AF18">
        <v>1.2724195794490993E-2</v>
      </c>
      <c r="AG18">
        <v>5.8604352574244943E-4</v>
      </c>
      <c r="AH18">
        <v>2.7818216527760762E-5</v>
      </c>
      <c r="AI18">
        <v>1.7535716261240376E-2</v>
      </c>
      <c r="AJ18">
        <v>8.2285350226326236E-4</v>
      </c>
      <c r="AK18">
        <v>1.5987522778065911E-2</v>
      </c>
      <c r="AL18">
        <v>8.5758383807670534E-4</v>
      </c>
      <c r="AM18">
        <v>2.4958639906990225E-3</v>
      </c>
      <c r="AN18">
        <v>2.0841838627031228E-3</v>
      </c>
      <c r="AO18">
        <v>1.0970474543800354E-3</v>
      </c>
      <c r="AP18">
        <v>2.0121360814283969E-3</v>
      </c>
      <c r="AQ18">
        <v>7.1310337994556154E-4</v>
      </c>
    </row>
    <row r="19" spans="1:43" x14ac:dyDescent="0.25">
      <c r="A19" t="s">
        <v>17</v>
      </c>
      <c r="B19">
        <v>1.4135814855156582E-5</v>
      </c>
      <c r="C19">
        <v>5.2396619075028604E-5</v>
      </c>
      <c r="D19">
        <v>4.1609203826681849E-4</v>
      </c>
      <c r="E19">
        <v>3.2390125984140589E-6</v>
      </c>
      <c r="F19">
        <v>8.3878055426197119E-5</v>
      </c>
      <c r="G19">
        <v>3.1635282519311695E-6</v>
      </c>
      <c r="H19">
        <v>2.4013221183814213E-5</v>
      </c>
      <c r="I19">
        <v>1.1495040515100612E-4</v>
      </c>
      <c r="J19">
        <v>4.2185939472529331E-7</v>
      </c>
      <c r="K19">
        <v>8.7142369256761673E-6</v>
      </c>
      <c r="L19">
        <v>9.9396789236789517E-6</v>
      </c>
      <c r="M19">
        <v>7.7007765456391932E-5</v>
      </c>
      <c r="N19">
        <v>1.4035520183680874E-3</v>
      </c>
      <c r="O19">
        <v>2.8020155254776984E-3</v>
      </c>
      <c r="P19">
        <v>2.1799188340241226E-3</v>
      </c>
      <c r="Q19">
        <v>3.0343964584785178E-4</v>
      </c>
      <c r="R19">
        <v>1.7339972331767161E-3</v>
      </c>
      <c r="S19">
        <v>3.9711901348885928E-2</v>
      </c>
      <c r="T19">
        <v>1.2058324906285613E-4</v>
      </c>
      <c r="U19">
        <v>2.822126265186672E-3</v>
      </c>
      <c r="V19">
        <v>9.5336693006102356E-5</v>
      </c>
      <c r="W19">
        <v>8.8756531131450093E-7</v>
      </c>
      <c r="X19">
        <v>1.1876620279803186E-5</v>
      </c>
      <c r="Y19">
        <v>5.2646334713687943E-5</v>
      </c>
      <c r="Z19">
        <v>1.0952406953104573E-6</v>
      </c>
      <c r="AA19">
        <v>9.6359912067331369E-6</v>
      </c>
      <c r="AB19">
        <v>1.0107778550519585E-7</v>
      </c>
      <c r="AC19">
        <v>1.789621042231732E-6</v>
      </c>
      <c r="AD19">
        <v>1.4563013961146601E-5</v>
      </c>
      <c r="AE19">
        <v>8.2469365486793038E-5</v>
      </c>
      <c r="AF19">
        <v>6.1519304389972583E-5</v>
      </c>
      <c r="AG19">
        <v>2.2268968721692346E-8</v>
      </c>
      <c r="AH19">
        <v>1.2866049446158291E-7</v>
      </c>
      <c r="AI19">
        <v>1.1373433467337285E-5</v>
      </c>
      <c r="AJ19">
        <v>2.4181158735341144E-4</v>
      </c>
      <c r="AK19">
        <v>4.8976407053437669E-3</v>
      </c>
      <c r="AL19">
        <v>8.1389659969511913E-4</v>
      </c>
      <c r="AM19">
        <v>3.7899855482359046E-4</v>
      </c>
      <c r="AN19">
        <v>1.1717761498951508E-3</v>
      </c>
      <c r="AO19">
        <v>4.0435721945720479E-4</v>
      </c>
      <c r="AP19">
        <v>1.537431079894058E-4</v>
      </c>
      <c r="AQ19">
        <v>6.6952831542138646E-5</v>
      </c>
    </row>
    <row r="20" spans="1:43" x14ac:dyDescent="0.25">
      <c r="A20" t="s">
        <v>18</v>
      </c>
      <c r="B20">
        <v>2.9134483720073697E-5</v>
      </c>
      <c r="C20">
        <v>6.6349488970947606E-5</v>
      </c>
      <c r="D20">
        <v>2.642646881888957E-5</v>
      </c>
      <c r="E20">
        <v>1.5503592849118166E-5</v>
      </c>
      <c r="F20">
        <v>1.5290068765730984E-4</v>
      </c>
      <c r="G20">
        <v>4.1285178119302671E-4</v>
      </c>
      <c r="H20">
        <v>4.985033963030096E-5</v>
      </c>
      <c r="I20">
        <v>2.3804919677696991E-4</v>
      </c>
      <c r="J20">
        <v>1.3207292970423284E-5</v>
      </c>
      <c r="K20">
        <v>3.7160734346158152E-5</v>
      </c>
      <c r="L20">
        <v>7.2213089453770979E-3</v>
      </c>
      <c r="M20">
        <v>1.0942338948981545E-4</v>
      </c>
      <c r="N20">
        <v>6.508363940256853E-5</v>
      </c>
      <c r="O20">
        <v>8.3364119245047047E-5</v>
      </c>
      <c r="P20">
        <v>3.4251606816741523E-5</v>
      </c>
      <c r="Q20">
        <v>1.0368934491240654E-4</v>
      </c>
      <c r="R20">
        <v>5.5429595481682336E-5</v>
      </c>
      <c r="S20">
        <v>4.4239447743267329E-4</v>
      </c>
      <c r="T20">
        <v>1.4303800917554593E-2</v>
      </c>
      <c r="U20">
        <v>7.0506175870679665E-5</v>
      </c>
      <c r="V20">
        <v>4.0180190467923605E-6</v>
      </c>
      <c r="W20">
        <v>5.1163025313907969E-7</v>
      </c>
      <c r="X20">
        <v>1.2764030038525543E-6</v>
      </c>
      <c r="Y20">
        <v>3.3520331364862969E-5</v>
      </c>
      <c r="Z20">
        <v>3.0108449456795385E-7</v>
      </c>
      <c r="AA20">
        <v>5.0789761754933082E-6</v>
      </c>
      <c r="AB20">
        <v>1.4960755525858358E-5</v>
      </c>
      <c r="AC20">
        <v>1.7173114587045714E-6</v>
      </c>
      <c r="AD20">
        <v>2.493662193907511E-5</v>
      </c>
      <c r="AE20">
        <v>2.0600436114465161E-5</v>
      </c>
      <c r="AF20">
        <v>2.7183337603406321E-6</v>
      </c>
      <c r="AG20">
        <v>3.45489952637254E-7</v>
      </c>
      <c r="AH20">
        <v>3.648717345075319E-4</v>
      </c>
      <c r="AI20">
        <v>6.4537607101776371E-5</v>
      </c>
      <c r="AJ20">
        <v>1.7828036022922647E-6</v>
      </c>
      <c r="AK20">
        <v>3.1382999029011397E-4</v>
      </c>
      <c r="AL20">
        <v>1.8131908158377431E-4</v>
      </c>
      <c r="AM20">
        <v>5.2008965605749983E-4</v>
      </c>
      <c r="AN20">
        <v>1.8924788157417686E-6</v>
      </c>
      <c r="AO20">
        <v>1.2638019900022915E-5</v>
      </c>
      <c r="AP20">
        <v>7.5343284788327754E-5</v>
      </c>
      <c r="AQ20">
        <v>6.6702329141388609E-5</v>
      </c>
    </row>
    <row r="21" spans="1:43" x14ac:dyDescent="0.25">
      <c r="A21" t="s">
        <v>19</v>
      </c>
      <c r="B21">
        <v>9.9254936063852805E-6</v>
      </c>
      <c r="C21">
        <v>2.2858554392909857E-4</v>
      </c>
      <c r="D21">
        <v>1.2684603669105232E-5</v>
      </c>
      <c r="E21">
        <v>3.8704737794899001E-5</v>
      </c>
      <c r="F21">
        <v>4.4765066923050674E-5</v>
      </c>
      <c r="G21">
        <v>1.4655983300320751E-5</v>
      </c>
      <c r="H21">
        <v>3.9185451967628821E-5</v>
      </c>
      <c r="I21">
        <v>1.0159126684148665E-4</v>
      </c>
      <c r="J21">
        <v>9.4445269914538577E-5</v>
      </c>
      <c r="K21">
        <v>1.0424844966135777E-4</v>
      </c>
      <c r="L21">
        <v>1.3108193722862055E-4</v>
      </c>
      <c r="M21">
        <v>7.0267175778701555E-5</v>
      </c>
      <c r="N21">
        <v>1.3137783830616229E-4</v>
      </c>
      <c r="O21">
        <v>9.3747637937747545E-5</v>
      </c>
      <c r="P21">
        <v>7.4905289383249611E-5</v>
      </c>
      <c r="Q21">
        <v>5.008207860328857E-5</v>
      </c>
      <c r="R21">
        <v>8.0207426611208802E-5</v>
      </c>
      <c r="S21">
        <v>5.3760583291457364E-5</v>
      </c>
      <c r="T21">
        <v>2.4202678034472417E-4</v>
      </c>
      <c r="U21">
        <v>1.4053625603775542E-4</v>
      </c>
      <c r="V21">
        <v>3.7592578379537489E-6</v>
      </c>
      <c r="W21">
        <v>1.8077381519608649E-6</v>
      </c>
      <c r="X21">
        <v>6.2335444433828437E-6</v>
      </c>
      <c r="Y21">
        <v>1.0015860270284583E-6</v>
      </c>
      <c r="Z21">
        <v>4.6240184706696397E-4</v>
      </c>
      <c r="AA21">
        <v>1.1676293398012558E-3</v>
      </c>
      <c r="AB21">
        <v>4.3489838391473325E-8</v>
      </c>
      <c r="AC21">
        <v>1.9474097322995634E-5</v>
      </c>
      <c r="AD21">
        <v>1.2673196987065535E-5</v>
      </c>
      <c r="AE21">
        <v>3.1007709666308078E-6</v>
      </c>
      <c r="AF21">
        <v>3.6536569196121501E-5</v>
      </c>
      <c r="AG21">
        <v>5.6498993062894038E-7</v>
      </c>
      <c r="AH21">
        <v>3.4995161622218264E-7</v>
      </c>
      <c r="AI21">
        <v>5.104561949081994E-5</v>
      </c>
      <c r="AJ21">
        <v>2.6480891484503633E-6</v>
      </c>
      <c r="AK21">
        <v>8.0577363601770381E-5</v>
      </c>
      <c r="AL21">
        <v>1.5205349845733236E-7</v>
      </c>
      <c r="AM21">
        <v>1.1258941571331924E-5</v>
      </c>
      <c r="AN21">
        <v>4.0200238026421316E-7</v>
      </c>
      <c r="AO21">
        <v>4.3888006170768897E-6</v>
      </c>
      <c r="AP21">
        <v>2.027597084729463E-6</v>
      </c>
      <c r="AQ21">
        <v>1.2082860662405713E-6</v>
      </c>
    </row>
    <row r="22" spans="1:43" x14ac:dyDescent="0.25">
      <c r="A22" t="s">
        <v>20</v>
      </c>
      <c r="B22">
        <v>0</v>
      </c>
      <c r="C22">
        <v>0</v>
      </c>
      <c r="D22">
        <v>4.2115241011405365E-5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2.4510410217137671E-5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t="s">
        <v>25</v>
      </c>
      <c r="B27">
        <v>1.1080949564664322E-4</v>
      </c>
      <c r="C27">
        <v>4.0900083984844423E-4</v>
      </c>
      <c r="D27">
        <v>4.5910371386841277E-4</v>
      </c>
      <c r="E27">
        <v>3.4533304999779878E-4</v>
      </c>
      <c r="F27">
        <v>3.0893686142430379E-4</v>
      </c>
      <c r="G27">
        <v>2.9610280846080429E-4</v>
      </c>
      <c r="H27">
        <v>4.2568638150085162E-4</v>
      </c>
      <c r="I27">
        <v>3.3655212081446808E-4</v>
      </c>
      <c r="J27">
        <v>9.5135621853309165E-5</v>
      </c>
      <c r="K27">
        <v>4.3081784634769544E-4</v>
      </c>
      <c r="L27">
        <v>9.1813195013450507E-5</v>
      </c>
      <c r="M27">
        <v>2.6843006952098018E-4</v>
      </c>
      <c r="N27">
        <v>5.3392120896472912E-4</v>
      </c>
      <c r="O27">
        <v>6.4548437266343547E-4</v>
      </c>
      <c r="P27">
        <v>2.3896900193290775E-4</v>
      </c>
      <c r="Q27">
        <v>3.7839463229333487E-4</v>
      </c>
      <c r="R27">
        <v>1.8527915383034825E-4</v>
      </c>
      <c r="S27">
        <v>9.120249339794747E-4</v>
      </c>
      <c r="T27">
        <v>2.6556585956708065E-4</v>
      </c>
      <c r="U27">
        <v>3.4535130029367484E-4</v>
      </c>
      <c r="V27">
        <v>1.0334879916176388E-4</v>
      </c>
      <c r="W27">
        <v>1.1632951564691501E-4</v>
      </c>
      <c r="X27">
        <v>1.4501208086149258E-4</v>
      </c>
      <c r="Y27">
        <v>3.8053701986922049E-4</v>
      </c>
      <c r="Z27">
        <v>1.9441573593322711E-3</v>
      </c>
      <c r="AA27">
        <v>1.4974050406313154E-2</v>
      </c>
      <c r="AB27">
        <v>2.9942793942412199E-4</v>
      </c>
      <c r="AC27">
        <v>1.3252135133966906E-4</v>
      </c>
      <c r="AD27">
        <v>1.0423766698078518E-4</v>
      </c>
      <c r="AE27">
        <v>1.7159915938817029E-4</v>
      </c>
      <c r="AF27">
        <v>2.6073935137219751E-3</v>
      </c>
      <c r="AG27">
        <v>1.9855144238205866E-3</v>
      </c>
      <c r="AH27">
        <v>8.1226293172429473E-5</v>
      </c>
      <c r="AI27">
        <v>5.971237454315801E-3</v>
      </c>
      <c r="AJ27">
        <v>4.1599859217718809E-4</v>
      </c>
      <c r="AK27">
        <v>5.2848773299306517E-3</v>
      </c>
      <c r="AL27">
        <v>5.3689481533027454E-4</v>
      </c>
      <c r="AM27">
        <v>3.4949348849382341E-3</v>
      </c>
      <c r="AN27">
        <v>5.43704052361281E-3</v>
      </c>
      <c r="AO27">
        <v>9.1235038641456422E-4</v>
      </c>
      <c r="AP27">
        <v>3.5866626336325032E-3</v>
      </c>
      <c r="AQ27">
        <v>8.3339043881072855E-3</v>
      </c>
    </row>
    <row r="28" spans="1:43" x14ac:dyDescent="0.25">
      <c r="A28" t="s">
        <v>26</v>
      </c>
      <c r="B28">
        <v>9.6743489829684441E-5</v>
      </c>
      <c r="C28">
        <v>1.7632802056238465E-4</v>
      </c>
      <c r="D28">
        <v>3.3756251297004509E-4</v>
      </c>
      <c r="E28">
        <v>1.6431457357418276E-4</v>
      </c>
      <c r="F28">
        <v>1.1882566687335508E-4</v>
      </c>
      <c r="G28">
        <v>1.5464686888974673E-4</v>
      </c>
      <c r="H28">
        <v>2.1522265944993939E-4</v>
      </c>
      <c r="I28">
        <v>1.5387140652482737E-4</v>
      </c>
      <c r="J28">
        <v>1.6540390257445972E-5</v>
      </c>
      <c r="K28">
        <v>2.9663751158565539E-4</v>
      </c>
      <c r="L28">
        <v>4.4118907020177731E-4</v>
      </c>
      <c r="M28">
        <v>1.9488905643255829E-4</v>
      </c>
      <c r="N28">
        <v>3.0849153842942619E-4</v>
      </c>
      <c r="O28">
        <v>4.6022292335122657E-4</v>
      </c>
      <c r="P28">
        <v>1.1445416324611232E-4</v>
      </c>
      <c r="Q28">
        <v>2.1278492410304895E-4</v>
      </c>
      <c r="R28">
        <v>7.6673241742069873E-5</v>
      </c>
      <c r="S28">
        <v>5.4358015367165634E-4</v>
      </c>
      <c r="T28">
        <v>1.0061008383279948E-4</v>
      </c>
      <c r="U28">
        <v>1.6657398429840582E-4</v>
      </c>
      <c r="V28">
        <v>6.702093795217729E-5</v>
      </c>
      <c r="W28">
        <v>3.0109332777723413E-5</v>
      </c>
      <c r="X28">
        <v>8.0277682192382354E-5</v>
      </c>
      <c r="Y28">
        <v>2.8194994040340622E-4</v>
      </c>
      <c r="Z28">
        <v>5.8537479761751451E-4</v>
      </c>
      <c r="AA28">
        <v>7.0107434954242169E-4</v>
      </c>
      <c r="AB28">
        <v>3.2970046426552136E-4</v>
      </c>
      <c r="AC28">
        <v>4.1832341089557418E-5</v>
      </c>
      <c r="AD28">
        <v>4.4881189887986492E-5</v>
      </c>
      <c r="AE28">
        <v>5.0309292426409689E-5</v>
      </c>
      <c r="AF28">
        <v>6.7076116701601416E-4</v>
      </c>
      <c r="AG28">
        <v>1.5555408832037434E-3</v>
      </c>
      <c r="AH28">
        <v>5.6314034670823534E-5</v>
      </c>
      <c r="AI28">
        <v>2.9248305747710483E-3</v>
      </c>
      <c r="AJ28">
        <v>1.415707412196833E-4</v>
      </c>
      <c r="AK28">
        <v>2.6271070901162158E-3</v>
      </c>
      <c r="AL28">
        <v>3.3037582550216738E-4</v>
      </c>
      <c r="AM28">
        <v>5.6276004089803565E-4</v>
      </c>
      <c r="AN28">
        <v>9.44233449486475E-4</v>
      </c>
      <c r="AO28">
        <v>2.3605581458416405E-4</v>
      </c>
      <c r="AP28">
        <v>2.6096089730481861E-3</v>
      </c>
      <c r="AQ28">
        <v>6.6054361832319905E-3</v>
      </c>
    </row>
    <row r="29" spans="1:43" x14ac:dyDescent="0.25">
      <c r="A29" t="s">
        <v>27</v>
      </c>
      <c r="B29">
        <v>6.032604810776524E-7</v>
      </c>
      <c r="C29">
        <v>6.9412770118178699E-7</v>
      </c>
      <c r="D29">
        <v>5.9602009514922776E-7</v>
      </c>
      <c r="E29">
        <v>4.2280989688680055E-2</v>
      </c>
      <c r="F29">
        <v>1.0001143226748737E-2</v>
      </c>
      <c r="G29">
        <v>1.7835633739607669E-4</v>
      </c>
      <c r="H29">
        <v>1.5389746240733936E-2</v>
      </c>
      <c r="I29">
        <v>8.2424983131410871E-5</v>
      </c>
      <c r="J29">
        <v>2.3472986532907073E-6</v>
      </c>
      <c r="K29">
        <v>1.6958344179089078E-3</v>
      </c>
      <c r="L29">
        <v>2.8091098557878933E-7</v>
      </c>
      <c r="M29">
        <v>7.5574366403279544E-7</v>
      </c>
      <c r="N29">
        <v>1.337428397061717E-6</v>
      </c>
      <c r="O29">
        <v>4.3240329952143467E-6</v>
      </c>
      <c r="P29">
        <v>1.630052908282248E-6</v>
      </c>
      <c r="Q29">
        <v>3.964709164475903E-7</v>
      </c>
      <c r="R29">
        <v>3.0301399333413162E-7</v>
      </c>
      <c r="S29">
        <v>2.6888912809507138E-7</v>
      </c>
      <c r="T29">
        <v>1.1988842208450945E-5</v>
      </c>
      <c r="U29">
        <v>2.2776832878974922E-7</v>
      </c>
      <c r="V29">
        <v>1.3496538876505809E-6</v>
      </c>
      <c r="W29">
        <v>1.9627244400066852E-6</v>
      </c>
      <c r="X29">
        <v>3.3286063868697497E-7</v>
      </c>
      <c r="Y29">
        <v>6.2479106816508356E-6</v>
      </c>
      <c r="Z29">
        <v>2.1493655376199934E-7</v>
      </c>
      <c r="AA29">
        <v>2.9808660575175716E-7</v>
      </c>
      <c r="AB29">
        <v>4.5621097138037785E-4</v>
      </c>
      <c r="AC29">
        <v>8.1080958413374399E-3</v>
      </c>
      <c r="AD29">
        <v>8.3640505121126596E-7</v>
      </c>
      <c r="AE29">
        <v>2.1668610295044758E-7</v>
      </c>
      <c r="AF29">
        <v>4.9147090828779078E-7</v>
      </c>
      <c r="AG29">
        <v>4.1666648512691602E-7</v>
      </c>
      <c r="AH29">
        <v>1.1897581597522957E-6</v>
      </c>
      <c r="AI29">
        <v>5.3238683581508758E-6</v>
      </c>
      <c r="AJ29">
        <v>2.7249872829320047E-6</v>
      </c>
      <c r="AK29">
        <v>1.3412821593067298E-6</v>
      </c>
      <c r="AL29">
        <v>4.036084297007875E-5</v>
      </c>
      <c r="AM29">
        <v>6.9500134148599325E-6</v>
      </c>
      <c r="AN29">
        <v>2.9301791451306328E-6</v>
      </c>
      <c r="AO29">
        <v>1.3637945333910297E-6</v>
      </c>
      <c r="AP29">
        <v>6.5572362745538907E-6</v>
      </c>
      <c r="AQ29">
        <v>9.7783576810780286E-7</v>
      </c>
    </row>
    <row r="30" spans="1:43" x14ac:dyDescent="0.25">
      <c r="A30" t="s">
        <v>28</v>
      </c>
      <c r="B30">
        <v>3.8914922823416419E-6</v>
      </c>
      <c r="C30">
        <v>2.8574452820019345E-3</v>
      </c>
      <c r="D30">
        <v>1.1950115687588873E-5</v>
      </c>
      <c r="E30">
        <v>1.5678885598722245E-6</v>
      </c>
      <c r="F30">
        <v>3.7629829570729131E-6</v>
      </c>
      <c r="G30">
        <v>1.0394700671395617E-6</v>
      </c>
      <c r="H30">
        <v>7.9730189608021939E-7</v>
      </c>
      <c r="I30">
        <v>1.5259812087168088E-3</v>
      </c>
      <c r="J30">
        <v>4.4077986025209933E-3</v>
      </c>
      <c r="K30">
        <v>1.4711061774000912E-4</v>
      </c>
      <c r="L30">
        <v>2.9441521693217665E-3</v>
      </c>
      <c r="M30">
        <v>6.1609141481981841E-7</v>
      </c>
      <c r="N30">
        <v>4.3948655553594196E-7</v>
      </c>
      <c r="O30">
        <v>4.1368979543911632E-7</v>
      </c>
      <c r="P30">
        <v>6.6195095533977265E-8</v>
      </c>
      <c r="Q30">
        <v>1.5624192919448526E-7</v>
      </c>
      <c r="R30">
        <v>3.0803476378331312E-10</v>
      </c>
      <c r="S30">
        <v>1.2094293217429039E-7</v>
      </c>
      <c r="T30">
        <v>5.4875018485702981E-7</v>
      </c>
      <c r="U30">
        <v>1.0066040792151808E-6</v>
      </c>
      <c r="V30">
        <v>1.8276936176493008E-2</v>
      </c>
      <c r="W30">
        <v>9.2686133415025528E-6</v>
      </c>
      <c r="X30">
        <v>0</v>
      </c>
      <c r="Y30">
        <v>2.2676132327804498E-7</v>
      </c>
      <c r="Z30">
        <v>2.0532422407929764E-8</v>
      </c>
      <c r="AA30">
        <v>6.6944472201388514E-8</v>
      </c>
      <c r="AB30">
        <v>6.4580769263245965E-8</v>
      </c>
      <c r="AC30">
        <v>3.1249078100257777E-7</v>
      </c>
      <c r="AD30">
        <v>2.2924374995651167E-2</v>
      </c>
      <c r="AE30">
        <v>3.2142763923284623E-7</v>
      </c>
      <c r="AF30">
        <v>0</v>
      </c>
      <c r="AG30">
        <v>1.1241463511187049E-8</v>
      </c>
      <c r="AH30">
        <v>4.2616346726437968E-8</v>
      </c>
      <c r="AI30">
        <v>9.8453049792712309E-11</v>
      </c>
      <c r="AJ30">
        <v>6.3649805944659814E-7</v>
      </c>
      <c r="AK30">
        <v>2.0782527723999505E-7</v>
      </c>
      <c r="AL30">
        <v>4.5182731293420776E-7</v>
      </c>
      <c r="AM30">
        <v>5.5111321717499456E-7</v>
      </c>
      <c r="AN30">
        <v>7.9441054444132872E-7</v>
      </c>
      <c r="AO30">
        <v>4.7530540070670519E-7</v>
      </c>
      <c r="AP30">
        <v>1.49913361018802E-7</v>
      </c>
      <c r="AQ30">
        <v>4.3280487066296887E-7</v>
      </c>
    </row>
    <row r="31" spans="1:43" x14ac:dyDescent="0.25">
      <c r="A31" t="s">
        <v>29</v>
      </c>
      <c r="B31">
        <v>8.3125789709206359E-12</v>
      </c>
      <c r="C31">
        <v>3.6766825176675564E-11</v>
      </c>
      <c r="D31">
        <v>1.6501110053965333E-10</v>
      </c>
      <c r="E31">
        <v>0</v>
      </c>
      <c r="F31">
        <v>0</v>
      </c>
      <c r="G31">
        <v>0</v>
      </c>
      <c r="H31">
        <v>0</v>
      </c>
      <c r="I31">
        <v>0</v>
      </c>
      <c r="J31">
        <v>0.39475072644399201</v>
      </c>
      <c r="K31">
        <v>2.9721223866567832E-3</v>
      </c>
      <c r="L31">
        <v>5.25842511887927E-12</v>
      </c>
      <c r="M31">
        <v>0</v>
      </c>
      <c r="N31">
        <v>4.4055269305313054E-12</v>
      </c>
      <c r="O31">
        <v>1.9745398613879701E-12</v>
      </c>
      <c r="P31">
        <v>3.2473647808468433E-12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0.21334440638474741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2.6986205344658155E-12</v>
      </c>
      <c r="AE31">
        <v>7.704452097544043E-4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t="s">
        <v>30</v>
      </c>
      <c r="B32">
        <v>7.2292005536405498E-7</v>
      </c>
      <c r="C32">
        <v>3.4228416331792564E-7</v>
      </c>
      <c r="D32">
        <v>2.3277408762698005E-6</v>
      </c>
      <c r="E32">
        <v>1.2330233631969282E-7</v>
      </c>
      <c r="F32">
        <v>2.6715483851960535E-7</v>
      </c>
      <c r="G32">
        <v>8.9649146263628759E-8</v>
      </c>
      <c r="H32">
        <v>4.2443925859649136E-7</v>
      </c>
      <c r="I32">
        <v>2.9654403957433076E-7</v>
      </c>
      <c r="J32">
        <v>1.5593787835416288E-7</v>
      </c>
      <c r="K32">
        <v>2.3812103633707294E-7</v>
      </c>
      <c r="L32">
        <v>6.1563143539907023E-7</v>
      </c>
      <c r="M32">
        <v>4.342580820169504E-7</v>
      </c>
      <c r="N32">
        <v>3.2295684380184454E-6</v>
      </c>
      <c r="O32">
        <v>3.9424452688416763E-6</v>
      </c>
      <c r="P32">
        <v>8.2028921468908391E-7</v>
      </c>
      <c r="Q32">
        <v>8.309485983230705E-7</v>
      </c>
      <c r="R32">
        <v>1.1978120730782618E-4</v>
      </c>
      <c r="S32">
        <v>1.1106839243948183E-6</v>
      </c>
      <c r="T32">
        <v>7.5902647597563326E-8</v>
      </c>
      <c r="U32">
        <v>9.2323471935255042E-7</v>
      </c>
      <c r="V32">
        <v>4.7800886554518406E-7</v>
      </c>
      <c r="W32">
        <v>5.4391610656864121E-8</v>
      </c>
      <c r="X32">
        <v>1.4393019129644432E-7</v>
      </c>
      <c r="Y32">
        <v>3.3818611270734056E-7</v>
      </c>
      <c r="Z32">
        <v>4.9642300362349918E-5</v>
      </c>
      <c r="AA32">
        <v>1.6926121214212052E-5</v>
      </c>
      <c r="AB32">
        <v>5.0967474641510879E-6</v>
      </c>
      <c r="AC32">
        <v>3.1032406576701662E-7</v>
      </c>
      <c r="AD32">
        <v>4.5066423201472227E-7</v>
      </c>
      <c r="AE32">
        <v>2.0794954375166346E-6</v>
      </c>
      <c r="AF32">
        <v>3.3085499642965879E-3</v>
      </c>
      <c r="AG32">
        <v>1.0179707715191702E-4</v>
      </c>
      <c r="AH32">
        <v>7.6045750160641636E-7</v>
      </c>
      <c r="AI32">
        <v>1.2538115324836109E-4</v>
      </c>
      <c r="AJ32">
        <v>1.4666057346333399E-5</v>
      </c>
      <c r="AK32">
        <v>6.8199179410125037E-5</v>
      </c>
      <c r="AL32">
        <v>4.0840244476163858E-7</v>
      </c>
      <c r="AM32">
        <v>4.9258044497776905E-7</v>
      </c>
      <c r="AN32">
        <v>5.3527738462957068E-6</v>
      </c>
      <c r="AO32">
        <v>1.3555052923182835E-6</v>
      </c>
      <c r="AP32">
        <v>4.0842729178191087E-5</v>
      </c>
      <c r="AQ32">
        <v>2.3834024295469776E-6</v>
      </c>
    </row>
    <row r="33" spans="1:43" x14ac:dyDescent="0.25">
      <c r="A33" t="s">
        <v>31</v>
      </c>
      <c r="B33">
        <v>4.1815713631424758E-5</v>
      </c>
      <c r="C33">
        <v>1.3365114747777531E-4</v>
      </c>
      <c r="D33">
        <v>4.033457086596043E-5</v>
      </c>
      <c r="E33">
        <v>5.8196773555876462E-5</v>
      </c>
      <c r="F33">
        <v>9.3256076355846955E-5</v>
      </c>
      <c r="G33">
        <v>6.4802600390760892E-5</v>
      </c>
      <c r="H33">
        <v>9.6962949806093501E-5</v>
      </c>
      <c r="I33">
        <v>7.9582138835464987E-5</v>
      </c>
      <c r="J33">
        <v>8.0691389927033496E-5</v>
      </c>
      <c r="K33">
        <v>1.242500620032585E-4</v>
      </c>
      <c r="L33">
        <v>1.2612818920494797E-4</v>
      </c>
      <c r="M33">
        <v>8.0286185513507615E-5</v>
      </c>
      <c r="N33">
        <v>8.2852669979317995E-5</v>
      </c>
      <c r="O33">
        <v>9.7948714361253411E-5</v>
      </c>
      <c r="P33">
        <v>5.6351292102818221E-5</v>
      </c>
      <c r="Q33">
        <v>8.0860831513154333E-5</v>
      </c>
      <c r="R33">
        <v>5.2463695511626322E-5</v>
      </c>
      <c r="S33">
        <v>1.1005579620769949E-4</v>
      </c>
      <c r="T33">
        <v>7.9920503452441622E-5</v>
      </c>
      <c r="U33">
        <v>1.3500530606931551E-4</v>
      </c>
      <c r="V33">
        <v>4.5542824259018074E-5</v>
      </c>
      <c r="W33">
        <v>1.0476794916852506E-5</v>
      </c>
      <c r="X33">
        <v>5.7383566477167145E-5</v>
      </c>
      <c r="Y33">
        <v>8.5461126155678027E-5</v>
      </c>
      <c r="Z33">
        <v>1.4000640193001618E-4</v>
      </c>
      <c r="AA33">
        <v>2.0919561131472737E-4</v>
      </c>
      <c r="AB33">
        <v>1.233208450652918E-5</v>
      </c>
      <c r="AC33">
        <v>1.3459561818094343E-5</v>
      </c>
      <c r="AD33">
        <v>3.5891752957355122E-5</v>
      </c>
      <c r="AE33">
        <v>2.8029918600418444E-5</v>
      </c>
      <c r="AF33">
        <v>2.8354244883755286E-5</v>
      </c>
      <c r="AG33">
        <v>1.9262965359864944E-3</v>
      </c>
      <c r="AH33">
        <v>9.0016369658499489E-5</v>
      </c>
      <c r="AI33">
        <v>6.0505417770200833E-4</v>
      </c>
      <c r="AJ33">
        <v>1.4311864735163108E-5</v>
      </c>
      <c r="AK33">
        <v>2.3555208338442042E-4</v>
      </c>
      <c r="AL33">
        <v>6.4976384345157858E-4</v>
      </c>
      <c r="AM33">
        <v>2.7421937798637713E-5</v>
      </c>
      <c r="AN33">
        <v>1.2710215820354608E-5</v>
      </c>
      <c r="AO33">
        <v>2.8604217730069904E-6</v>
      </c>
      <c r="AP33">
        <v>3.5915411232009224E-5</v>
      </c>
      <c r="AQ33">
        <v>5.2465365260155136E-5</v>
      </c>
    </row>
    <row r="34" spans="1:43" x14ac:dyDescent="0.25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t="s">
        <v>33</v>
      </c>
      <c r="B35">
        <v>1.9865387093321888E-4</v>
      </c>
      <c r="C35">
        <v>1.0025443594942598E-3</v>
      </c>
      <c r="D35">
        <v>2.3219315426102304E-4</v>
      </c>
      <c r="E35">
        <v>9.7777631367010321E-4</v>
      </c>
      <c r="F35">
        <v>5.842222821893689E-4</v>
      </c>
      <c r="G35">
        <v>9.9486248850149533E-4</v>
      </c>
      <c r="H35">
        <v>9.7356469509901828E-4</v>
      </c>
      <c r="I35">
        <v>9.6645846436042621E-4</v>
      </c>
      <c r="J35">
        <v>5.2882410050743582E-4</v>
      </c>
      <c r="K35">
        <v>1.1165902337895665E-3</v>
      </c>
      <c r="L35">
        <v>7.402078383739177E-4</v>
      </c>
      <c r="M35">
        <v>9.8917097154815675E-4</v>
      </c>
      <c r="N35">
        <v>1.1844947119818887E-3</v>
      </c>
      <c r="O35">
        <v>1.2818989511892275E-3</v>
      </c>
      <c r="P35">
        <v>1.6425351899149565E-3</v>
      </c>
      <c r="Q35">
        <v>1.391505844153754E-3</v>
      </c>
      <c r="R35">
        <v>6.8676626966574959E-4</v>
      </c>
      <c r="S35">
        <v>1.0539377502474839E-3</v>
      </c>
      <c r="T35">
        <v>5.51550560678056E-4</v>
      </c>
      <c r="U35">
        <v>1.71552015316951E-3</v>
      </c>
      <c r="V35">
        <v>7.7066775680481554E-5</v>
      </c>
      <c r="W35">
        <v>8.4752896085065461E-5</v>
      </c>
      <c r="X35">
        <v>3.6883962146837604E-4</v>
      </c>
      <c r="Y35">
        <v>9.9228497035005187E-5</v>
      </c>
      <c r="Z35">
        <v>2.5662300835997839E-3</v>
      </c>
      <c r="AA35">
        <v>6.3015691908554616E-4</v>
      </c>
      <c r="AB35">
        <v>4.8607947933598702E-4</v>
      </c>
      <c r="AC35">
        <v>4.1236776661063834E-5</v>
      </c>
      <c r="AD35">
        <v>1.6551571301687344E-4</v>
      </c>
      <c r="AE35">
        <v>9.001176428044449E-5</v>
      </c>
      <c r="AF35">
        <v>2.5410561725658066E-3</v>
      </c>
      <c r="AG35">
        <v>3.2718015405201929E-4</v>
      </c>
      <c r="AH35">
        <v>3.3509894510885482E-4</v>
      </c>
      <c r="AI35">
        <v>5.5703318133973959E-3</v>
      </c>
      <c r="AJ35">
        <v>4.9525841523078709E-4</v>
      </c>
      <c r="AK35">
        <v>2.7773542819415275E-3</v>
      </c>
      <c r="AL35">
        <v>2.530912836731235E-4</v>
      </c>
      <c r="AM35">
        <v>6.5148405679070281E-4</v>
      </c>
      <c r="AN35">
        <v>3.4030978589037774E-4</v>
      </c>
      <c r="AO35">
        <v>9.3919062506076385E-5</v>
      </c>
      <c r="AP35">
        <v>3.1948436731641557E-3</v>
      </c>
      <c r="AQ35">
        <v>8.8258094149431003E-4</v>
      </c>
    </row>
    <row r="36" spans="1:43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35</v>
      </c>
      <c r="B37">
        <v>0</v>
      </c>
      <c r="C37">
        <v>1.5932290909892743E-10</v>
      </c>
      <c r="D37">
        <v>4.7146028725615229E-11</v>
      </c>
      <c r="E37">
        <v>1.1332775074984845E-11</v>
      </c>
      <c r="F37">
        <v>4.8973707352113998E-11</v>
      </c>
      <c r="G37">
        <v>1.4599382388639731E-9</v>
      </c>
      <c r="H37">
        <v>2.9505683600729327E-10</v>
      </c>
      <c r="I37">
        <v>8.3739000095301059E-11</v>
      </c>
      <c r="J37">
        <v>0</v>
      </c>
      <c r="K37">
        <v>1.0111035732854652E-10</v>
      </c>
      <c r="L37">
        <v>1.5775275356637809E-11</v>
      </c>
      <c r="M37">
        <v>4.7418080449681681E-10</v>
      </c>
      <c r="N37">
        <v>4.816709444047561E-10</v>
      </c>
      <c r="O37">
        <v>9.0631379637707829E-10</v>
      </c>
      <c r="P37">
        <v>2.0848081893036735E-9</v>
      </c>
      <c r="Q37">
        <v>1.2578676471462722E-9</v>
      </c>
      <c r="R37">
        <v>7.6518189729612817E-11</v>
      </c>
      <c r="S37">
        <v>1.6143661691785149E-9</v>
      </c>
      <c r="T37">
        <v>1.9579839813640302E-10</v>
      </c>
      <c r="U37">
        <v>4.856467564813415E-10</v>
      </c>
      <c r="V37">
        <v>2.9947365383149014E-11</v>
      </c>
      <c r="W37">
        <v>4.7305279750273201E-12</v>
      </c>
      <c r="X37">
        <v>1.6816239198089068E-11</v>
      </c>
      <c r="Y37">
        <v>4.0051974059570874E-7</v>
      </c>
      <c r="Z37">
        <v>0</v>
      </c>
      <c r="AA37">
        <v>3.777336303870101E-12</v>
      </c>
      <c r="AB37">
        <v>0</v>
      </c>
      <c r="AC37">
        <v>1.2460803102259606E-9</v>
      </c>
      <c r="AD37">
        <v>0</v>
      </c>
      <c r="AE37">
        <v>0</v>
      </c>
      <c r="AF37">
        <v>1.6526508171842747E-10</v>
      </c>
      <c r="AG37">
        <v>0</v>
      </c>
      <c r="AH37">
        <v>0</v>
      </c>
      <c r="AI37">
        <v>0</v>
      </c>
      <c r="AJ37">
        <v>1.6177718976869381E-8</v>
      </c>
      <c r="AK37">
        <v>3.6980550961083814E-7</v>
      </c>
      <c r="AL37">
        <v>0</v>
      </c>
      <c r="AM37">
        <v>0</v>
      </c>
      <c r="AN37">
        <v>0</v>
      </c>
      <c r="AO37">
        <v>1.270381773600936E-11</v>
      </c>
      <c r="AP37">
        <v>0</v>
      </c>
      <c r="AQ37">
        <v>0</v>
      </c>
    </row>
    <row r="38" spans="1:43" x14ac:dyDescent="0.2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25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25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40</v>
      </c>
      <c r="B42">
        <v>5.1363924216056872E-5</v>
      </c>
      <c r="C42">
        <v>1.6851691127706846E-4</v>
      </c>
      <c r="D42">
        <v>4.4382788195499743E-5</v>
      </c>
      <c r="E42">
        <v>4.604003337753013E-5</v>
      </c>
      <c r="F42">
        <v>8.5547987018800078E-5</v>
      </c>
      <c r="G42">
        <v>1.2205702809894727E-4</v>
      </c>
      <c r="H42">
        <v>7.5281127073777783E-5</v>
      </c>
      <c r="I42">
        <v>1.2419742747429304E-4</v>
      </c>
      <c r="J42">
        <v>3.6294713947233434E-5</v>
      </c>
      <c r="K42">
        <v>6.0350024992518027E-5</v>
      </c>
      <c r="L42">
        <v>1.018724262041166E-4</v>
      </c>
      <c r="M42">
        <v>4.856808444464326E-5</v>
      </c>
      <c r="N42">
        <v>1.8169894024536336E-4</v>
      </c>
      <c r="O42">
        <v>1.0483555200605973E-4</v>
      </c>
      <c r="P42">
        <v>4.3208710799760776E-5</v>
      </c>
      <c r="Q42">
        <v>8.2229403819431902E-5</v>
      </c>
      <c r="R42">
        <v>9.5118473269687091E-5</v>
      </c>
      <c r="S42">
        <v>2.1523903172527591E-5</v>
      </c>
      <c r="T42">
        <v>4.6797131800987807E-5</v>
      </c>
      <c r="U42">
        <v>6.0903887260404487E-5</v>
      </c>
      <c r="V42">
        <v>8.2019434032462764E-5</v>
      </c>
      <c r="W42">
        <v>1.6358974657928203E-5</v>
      </c>
      <c r="X42">
        <v>8.2244934979842563E-4</v>
      </c>
      <c r="Y42">
        <v>2.0310828817302676E-5</v>
      </c>
      <c r="Z42">
        <v>5.3121189902467756E-5</v>
      </c>
      <c r="AA42">
        <v>4.369107470600691E-5</v>
      </c>
      <c r="AB42">
        <v>1.0665669260135176E-4</v>
      </c>
      <c r="AC42">
        <v>4.1236183349092918E-7</v>
      </c>
      <c r="AD42">
        <v>5.8648391448001258E-6</v>
      </c>
      <c r="AE42">
        <v>1.7120821582499633E-4</v>
      </c>
      <c r="AF42">
        <v>8.238444933356187E-5</v>
      </c>
      <c r="AG42">
        <v>7.0768285892956062E-5</v>
      </c>
      <c r="AH42">
        <v>1.0091555930811071E-5</v>
      </c>
      <c r="AI42">
        <v>2.1046982891528517E-4</v>
      </c>
      <c r="AJ42">
        <v>4.0957258043464493E-5</v>
      </c>
      <c r="AK42">
        <v>7.4225171970978922E-5</v>
      </c>
      <c r="AL42">
        <v>5.4720085776950956E-5</v>
      </c>
      <c r="AM42">
        <v>1.3515327351814701E-4</v>
      </c>
      <c r="AN42">
        <v>5.8252661452136306E-5</v>
      </c>
      <c r="AO42">
        <v>1.7123120537065851E-4</v>
      </c>
      <c r="AP42">
        <v>8.2317278817864697E-3</v>
      </c>
      <c r="AQ42">
        <v>6.8087557027485734E-4</v>
      </c>
    </row>
    <row r="43" spans="1:43" x14ac:dyDescent="0.25">
      <c r="A43" t="s">
        <v>41</v>
      </c>
      <c r="B43">
        <v>4.2399971556974883E-7</v>
      </c>
      <c r="C43">
        <v>1.4188575203455337E-5</v>
      </c>
      <c r="D43">
        <v>5.3930342259231255E-7</v>
      </c>
      <c r="E43">
        <v>5.0761443567658448E-6</v>
      </c>
      <c r="F43">
        <v>8.4357145615739904E-6</v>
      </c>
      <c r="G43">
        <v>5.7856488361099117E-6</v>
      </c>
      <c r="H43">
        <v>4.6241238721194161E-6</v>
      </c>
      <c r="I43">
        <v>6.2234141736879594E-6</v>
      </c>
      <c r="J43">
        <v>1.2614868658439506E-6</v>
      </c>
      <c r="K43">
        <v>7.7462370887543924E-6</v>
      </c>
      <c r="L43">
        <v>2.7060473526704192E-6</v>
      </c>
      <c r="M43">
        <v>1.0412071108574102E-5</v>
      </c>
      <c r="N43">
        <v>6.663820594247329E-6</v>
      </c>
      <c r="O43">
        <v>1.0559179682389161E-5</v>
      </c>
      <c r="P43">
        <v>3.3256595575542559E-6</v>
      </c>
      <c r="Q43">
        <v>2.9607250930039588E-6</v>
      </c>
      <c r="R43">
        <v>2.3857894136509492E-6</v>
      </c>
      <c r="S43">
        <v>3.2024092010984801E-6</v>
      </c>
      <c r="T43">
        <v>3.5140945476730665E-6</v>
      </c>
      <c r="U43">
        <v>1.2376444530267231E-5</v>
      </c>
      <c r="V43">
        <v>3.0141224661729267E-7</v>
      </c>
      <c r="W43">
        <v>7.8143591619476302E-8</v>
      </c>
      <c r="X43">
        <v>2.7136365193956327E-7</v>
      </c>
      <c r="Y43">
        <v>4.0412926097215578E-7</v>
      </c>
      <c r="Z43">
        <v>9.8012287285510511E-6</v>
      </c>
      <c r="AA43">
        <v>4.0821149645290057E-5</v>
      </c>
      <c r="AB43">
        <v>1.8140665523383699E-8</v>
      </c>
      <c r="AC43">
        <v>1.4955467148749148E-7</v>
      </c>
      <c r="AD43">
        <v>3.1184449310126629E-7</v>
      </c>
      <c r="AE43">
        <v>2.2192135775013605E-8</v>
      </c>
      <c r="AF43">
        <v>1.4693881413492695E-4</v>
      </c>
      <c r="AG43">
        <v>1.6772150286649541E-5</v>
      </c>
      <c r="AH43">
        <v>2.7092521046666095E-8</v>
      </c>
      <c r="AI43">
        <v>2.4967464608964389E-5</v>
      </c>
      <c r="AJ43">
        <v>1.3479585529926075E-5</v>
      </c>
      <c r="AK43">
        <v>1.7587162389519721E-5</v>
      </c>
      <c r="AL43">
        <v>0</v>
      </c>
      <c r="AM43">
        <v>2.4494712399156447E-5</v>
      </c>
      <c r="AN43">
        <v>8.6912900749559414E-6</v>
      </c>
      <c r="AO43">
        <v>1.0261810491932789E-6</v>
      </c>
      <c r="AP43">
        <v>4.558792144126643E-6</v>
      </c>
      <c r="AQ43">
        <v>1.6250575022711071E-3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EFCF-CC03-46FC-95AC-AA657C0BFB9A}">
  <dimension ref="A1:CS100"/>
  <sheetViews>
    <sheetView tabSelected="1" topLeftCell="A64" zoomScale="73" zoomScaleNormal="73" workbookViewId="0">
      <selection activeCell="C97" sqref="C97"/>
    </sheetView>
  </sheetViews>
  <sheetFormatPr defaultRowHeight="15" x14ac:dyDescent="0.25"/>
  <sheetData>
    <row r="1" spans="1:97" ht="49.5" x14ac:dyDescent="0.75">
      <c r="C1" s="13" t="s">
        <v>43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9" t="s">
        <v>55</v>
      </c>
      <c r="AU1" s="10"/>
      <c r="AV1" s="10"/>
      <c r="AW1" s="10"/>
      <c r="AX1" s="10"/>
      <c r="AY1" s="7" t="s">
        <v>59</v>
      </c>
    </row>
    <row r="2" spans="1:97" x14ac:dyDescent="0.25">
      <c r="A2" s="14" t="s">
        <v>45</v>
      </c>
      <c r="B2" s="11" t="s">
        <v>42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39</v>
      </c>
      <c r="AR2" t="s">
        <v>40</v>
      </c>
      <c r="AS2" t="s">
        <v>41</v>
      </c>
      <c r="AT2" s="6" t="s">
        <v>53</v>
      </c>
      <c r="AU2" s="1" t="s">
        <v>54</v>
      </c>
      <c r="AV2" s="1" t="s">
        <v>55</v>
      </c>
      <c r="AW2" s="1" t="s">
        <v>56</v>
      </c>
      <c r="AX2" s="1" t="s">
        <v>57</v>
      </c>
      <c r="AY2" s="4" t="s">
        <v>58</v>
      </c>
      <c r="BB2" s="18" t="s">
        <v>62</v>
      </c>
      <c r="BC2" s="6"/>
      <c r="BD2" s="26" t="s">
        <v>0</v>
      </c>
      <c r="BE2" s="26" t="s">
        <v>1</v>
      </c>
      <c r="BF2" s="26" t="s">
        <v>2</v>
      </c>
      <c r="BG2" s="26" t="s">
        <v>3</v>
      </c>
      <c r="BH2" s="26" t="s">
        <v>4</v>
      </c>
      <c r="BI2" s="26" t="s">
        <v>5</v>
      </c>
      <c r="BJ2" s="26" t="s">
        <v>6</v>
      </c>
      <c r="BK2" s="26" t="s">
        <v>7</v>
      </c>
      <c r="BL2" s="26" t="s">
        <v>8</v>
      </c>
      <c r="BM2" s="26" t="s">
        <v>9</v>
      </c>
      <c r="BN2" s="26" t="s">
        <v>10</v>
      </c>
      <c r="BO2" s="26" t="s">
        <v>11</v>
      </c>
      <c r="BP2" s="26" t="s">
        <v>12</v>
      </c>
      <c r="BQ2" s="26" t="s">
        <v>13</v>
      </c>
      <c r="BR2" s="26" t="s">
        <v>14</v>
      </c>
      <c r="BS2" s="26" t="s">
        <v>15</v>
      </c>
      <c r="BT2" s="26" t="s">
        <v>16</v>
      </c>
      <c r="BU2" s="26" t="s">
        <v>17</v>
      </c>
      <c r="BV2" s="26" t="s">
        <v>18</v>
      </c>
      <c r="BW2" s="26" t="s">
        <v>19</v>
      </c>
      <c r="BX2" s="26" t="s">
        <v>20</v>
      </c>
      <c r="BY2" s="26" t="s">
        <v>21</v>
      </c>
      <c r="BZ2" s="26" t="s">
        <v>22</v>
      </c>
      <c r="CA2" s="26" t="s">
        <v>23</v>
      </c>
      <c r="CB2" s="26" t="s">
        <v>24</v>
      </c>
      <c r="CC2" s="26" t="s">
        <v>25</v>
      </c>
      <c r="CD2" s="26" t="s">
        <v>26</v>
      </c>
      <c r="CE2" s="26" t="s">
        <v>27</v>
      </c>
      <c r="CF2" s="26" t="s">
        <v>28</v>
      </c>
      <c r="CG2" s="26" t="s">
        <v>29</v>
      </c>
      <c r="CH2" s="26" t="s">
        <v>30</v>
      </c>
      <c r="CI2" s="26" t="s">
        <v>31</v>
      </c>
      <c r="CJ2" s="26" t="s">
        <v>32</v>
      </c>
      <c r="CK2" s="26" t="s">
        <v>33</v>
      </c>
      <c r="CL2" s="26" t="s">
        <v>34</v>
      </c>
      <c r="CM2" s="26" t="s">
        <v>35</v>
      </c>
      <c r="CN2" s="26" t="s">
        <v>36</v>
      </c>
      <c r="CO2" s="26" t="s">
        <v>37</v>
      </c>
      <c r="CP2" s="26" t="s">
        <v>38</v>
      </c>
      <c r="CQ2" s="26" t="s">
        <v>39</v>
      </c>
      <c r="CR2" s="26" t="s">
        <v>40</v>
      </c>
      <c r="CS2" s="27" t="s">
        <v>41</v>
      </c>
    </row>
    <row r="3" spans="1:97" x14ac:dyDescent="0.25">
      <c r="A3" s="14"/>
      <c r="B3" s="11"/>
      <c r="C3" t="s">
        <v>0</v>
      </c>
      <c r="D3">
        <v>49.086973280000002</v>
      </c>
      <c r="E3">
        <v>19.625348330000001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2.0601886199999999</v>
      </c>
      <c r="M3">
        <v>89.481873949999994</v>
      </c>
      <c r="N3">
        <v>1091.2558193299999</v>
      </c>
      <c r="O3">
        <v>45.597791100000002</v>
      </c>
      <c r="P3">
        <v>0</v>
      </c>
      <c r="Q3">
        <v>0</v>
      </c>
      <c r="R3">
        <v>0</v>
      </c>
      <c r="S3">
        <v>0</v>
      </c>
      <c r="T3">
        <v>0.21472711</v>
      </c>
      <c r="U3">
        <v>0</v>
      </c>
      <c r="V3">
        <v>6.0545059300000004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1.20508288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 s="4">
        <v>0</v>
      </c>
      <c r="AU3" s="1">
        <v>-104.66135799</v>
      </c>
      <c r="AV3" s="1">
        <v>-101.5862205</v>
      </c>
      <c r="AW3" s="1">
        <v>0</v>
      </c>
      <c r="AX3" s="1">
        <v>3.07513748</v>
      </c>
      <c r="AY3" s="4">
        <v>1202.9960900399999</v>
      </c>
      <c r="AZ3">
        <f>SUM(D3:AS3)+AV3</f>
        <v>1202.9960900299998</v>
      </c>
      <c r="BB3" s="18"/>
      <c r="BC3" s="4" t="s">
        <v>0</v>
      </c>
      <c r="BD3" s="1">
        <f>D3/D$92</f>
        <v>4.0803934183347122E-2</v>
      </c>
      <c r="BE3" s="1">
        <f>E3/E$92</f>
        <v>2.6724509299276733E-3</v>
      </c>
      <c r="BF3" s="1">
        <f t="shared" ref="BF3:BF66" si="0">F3/F$92</f>
        <v>0</v>
      </c>
      <c r="BG3" s="1">
        <f t="shared" ref="BG3:BG66" si="1">G3/G$92</f>
        <v>0</v>
      </c>
      <c r="BH3" s="1">
        <f t="shared" ref="BH3:BH66" si="2">H3/H$92</f>
        <v>0</v>
      </c>
      <c r="BI3" s="1">
        <f t="shared" ref="BI3:BI66" si="3">I3/I$92</f>
        <v>0</v>
      </c>
      <c r="BJ3" s="1">
        <f t="shared" ref="BJ3:BJ66" si="4">J3/J$92</f>
        <v>0</v>
      </c>
      <c r="BK3" s="1">
        <f t="shared" ref="BK3:BK66" si="5">K3/K$92</f>
        <v>0</v>
      </c>
      <c r="BL3" s="1">
        <f t="shared" ref="BL3:BL66" si="6">L3/L$92</f>
        <v>3.6504493149579654E-4</v>
      </c>
      <c r="BM3" s="1">
        <f>M3/M$92</f>
        <v>4.9986432317748377E-3</v>
      </c>
      <c r="BN3" s="1">
        <f t="shared" ref="BN3:BN66" si="7">N3/N$92</f>
        <v>7.1728587643600628E-2</v>
      </c>
      <c r="BO3" s="1">
        <f t="shared" ref="BO3:BO66" si="8">O3/O$92</f>
        <v>6.8422776161632271E-3</v>
      </c>
      <c r="BP3" s="1">
        <f t="shared" ref="BP3:BP66" si="9">P3/P$92</f>
        <v>0</v>
      </c>
      <c r="BQ3" s="1">
        <f t="shared" ref="BQ3:BQ66" si="10">Q3/Q$92</f>
        <v>0</v>
      </c>
      <c r="BR3" s="1">
        <f t="shared" ref="BR3:BR66" si="11">R3/R$92</f>
        <v>0</v>
      </c>
      <c r="BS3" s="1">
        <f t="shared" ref="BS3:BS66" si="12">S3/S$92</f>
        <v>0</v>
      </c>
      <c r="BT3" s="1">
        <f t="shared" ref="BT3:BT66" si="13">T3/T$92</f>
        <v>1.4043187814590976E-5</v>
      </c>
      <c r="BU3" s="1">
        <f t="shared" ref="BU3:BU66" si="14">U3/U$92</f>
        <v>0</v>
      </c>
      <c r="BV3" s="1">
        <f t="shared" ref="BV3:BV66" si="15">V3/V$92</f>
        <v>3.3870358931467233E-3</v>
      </c>
      <c r="BW3" s="1">
        <f t="shared" ref="BW3:BW66" si="16">W3/W$92</f>
        <v>0</v>
      </c>
      <c r="BX3" s="1">
        <f t="shared" ref="BX3:BX66" si="17">X3/X$92</f>
        <v>0</v>
      </c>
      <c r="BY3" s="1">
        <f t="shared" ref="BY3:BY66" si="18">Y3/Y$92</f>
        <v>0</v>
      </c>
      <c r="BZ3" s="1">
        <f t="shared" ref="BZ3:BZ66" si="19">Z3/Z$92</f>
        <v>0</v>
      </c>
      <c r="CA3" s="1">
        <f t="shared" ref="CA3:CA66" si="20">AA3/AA$92</f>
        <v>0</v>
      </c>
      <c r="CB3" s="1">
        <f t="shared" ref="CB3:CB66" si="21">AB3/AB$92</f>
        <v>0</v>
      </c>
      <c r="CC3" s="1">
        <f t="shared" ref="CC3:CC66" si="22">AC3/AC$92</f>
        <v>0</v>
      </c>
      <c r="CD3" s="1">
        <f t="shared" ref="CD3:CD66" si="23">AD3/AD$92</f>
        <v>0</v>
      </c>
      <c r="CE3" s="1">
        <f t="shared" ref="CE3:CE66" si="24">AE3/AE$92</f>
        <v>0</v>
      </c>
      <c r="CF3" s="1">
        <f t="shared" ref="CF3:CF66" si="25">AF3/AF$92</f>
        <v>0</v>
      </c>
      <c r="CG3" s="1">
        <f t="shared" ref="CG3:CG66" si="26">AG3/AG$92</f>
        <v>0</v>
      </c>
      <c r="CH3" s="1">
        <f t="shared" ref="CH3:CH66" si="27">AH3/AH$92</f>
        <v>0</v>
      </c>
      <c r="CI3" s="1">
        <f t="shared" ref="CI3:CI66" si="28">AI3/AI$92</f>
        <v>0</v>
      </c>
      <c r="CJ3" s="1">
        <f t="shared" ref="CJ3:CJ66" si="29">AJ3/AJ$92</f>
        <v>0</v>
      </c>
      <c r="CK3" s="1">
        <f t="shared" ref="CK3:CK66" si="30">AK3/AK$92</f>
        <v>0</v>
      </c>
      <c r="CL3" s="1">
        <f t="shared" ref="CL3:CL66" si="31">AL3/AL$92</f>
        <v>3.9416684546050157E-4</v>
      </c>
      <c r="CM3" s="1">
        <f t="shared" ref="CM3:CM66" si="32">AM3/AM$92</f>
        <v>0</v>
      </c>
      <c r="CN3" s="1">
        <f t="shared" ref="CN3:CN66" si="33">AN3/AN$92</f>
        <v>0</v>
      </c>
      <c r="CO3" s="1">
        <f t="shared" ref="CO3:CO66" si="34">AO3/AO$92</f>
        <v>0</v>
      </c>
      <c r="CP3" s="1">
        <f t="shared" ref="CP3:CP66" si="35">AP3/AP$92</f>
        <v>0</v>
      </c>
      <c r="CQ3" s="1">
        <f t="shared" ref="CQ3:CQ66" si="36">AQ3/AQ$92</f>
        <v>0</v>
      </c>
      <c r="CR3" s="1">
        <f t="shared" ref="CR3:CR66" si="37">AR3/AR$92</f>
        <v>0</v>
      </c>
      <c r="CS3" s="25">
        <f>AS3/AS$92</f>
        <v>0</v>
      </c>
    </row>
    <row r="4" spans="1:97" x14ac:dyDescent="0.25">
      <c r="A4" s="14"/>
      <c r="B4" s="11"/>
      <c r="C4" t="s">
        <v>1</v>
      </c>
      <c r="D4">
        <v>2.34059215</v>
      </c>
      <c r="E4">
        <v>1398.5824984599999</v>
      </c>
      <c r="F4">
        <v>18.821405030000001</v>
      </c>
      <c r="G4">
        <v>33.62846235</v>
      </c>
      <c r="H4">
        <v>2.4074562799999999</v>
      </c>
      <c r="I4">
        <v>4.4873580400000002</v>
      </c>
      <c r="J4">
        <v>17.095397349999999</v>
      </c>
      <c r="K4">
        <v>9.7121908599999998</v>
      </c>
      <c r="L4">
        <v>46.898708829999997</v>
      </c>
      <c r="M4">
        <v>85.014258909999995</v>
      </c>
      <c r="N4">
        <v>217.44321029</v>
      </c>
      <c r="O4">
        <v>71.795125400000003</v>
      </c>
      <c r="P4">
        <v>28.951628240000002</v>
      </c>
      <c r="Q4">
        <v>30.333736219999999</v>
      </c>
      <c r="R4">
        <v>92.228228880000003</v>
      </c>
      <c r="S4">
        <v>312.76989165999998</v>
      </c>
      <c r="T4">
        <v>342.69037104</v>
      </c>
      <c r="U4">
        <v>45.26208269</v>
      </c>
      <c r="V4">
        <v>7.0622695899999997</v>
      </c>
      <c r="W4">
        <v>0.98267987000000001</v>
      </c>
      <c r="X4">
        <v>4.4710867199999997</v>
      </c>
      <c r="Y4">
        <v>0.46584386</v>
      </c>
      <c r="Z4">
        <v>0.29285625999999998</v>
      </c>
      <c r="AA4">
        <v>3859.4754263200002</v>
      </c>
      <c r="AB4">
        <v>4.9854036700000002</v>
      </c>
      <c r="AC4">
        <v>3.6865136000000001</v>
      </c>
      <c r="AD4">
        <v>6.5241735500000004</v>
      </c>
      <c r="AE4">
        <v>8.4408124499999992</v>
      </c>
      <c r="AF4">
        <v>4.7585675800000002</v>
      </c>
      <c r="AG4">
        <v>0.41229367</v>
      </c>
      <c r="AH4">
        <v>3.93265149</v>
      </c>
      <c r="AI4">
        <v>2.3648232899999999</v>
      </c>
      <c r="AJ4">
        <v>190.32313227</v>
      </c>
      <c r="AK4">
        <v>4.9322340200000001</v>
      </c>
      <c r="AL4">
        <v>3.1382566700000001</v>
      </c>
      <c r="AM4">
        <v>82.461721330000003</v>
      </c>
      <c r="AN4">
        <v>1.1557501400000001</v>
      </c>
      <c r="AO4">
        <v>1.8572095099999999</v>
      </c>
      <c r="AP4">
        <v>12.23665372</v>
      </c>
      <c r="AQ4">
        <v>1.4993663500000001</v>
      </c>
      <c r="AR4">
        <v>0.66825137999999995</v>
      </c>
      <c r="AS4">
        <v>2.2585508299999999</v>
      </c>
      <c r="AT4" s="4">
        <v>0</v>
      </c>
      <c r="AU4" s="1">
        <v>-82.924728169999995</v>
      </c>
      <c r="AV4" s="1">
        <v>374.72755010999998</v>
      </c>
      <c r="AW4" s="1">
        <v>43.698100859999997</v>
      </c>
      <c r="AX4" s="1">
        <v>413.95417742000001</v>
      </c>
      <c r="AY4" s="4">
        <v>7343.5766809300003</v>
      </c>
      <c r="AZ4">
        <f t="shared" ref="AZ4:AZ67" si="38">SUM(D4:AS4)+AV4</f>
        <v>7343.5766809299994</v>
      </c>
      <c r="BB4" s="18"/>
      <c r="BC4" s="4" t="s">
        <v>1</v>
      </c>
      <c r="BD4">
        <f>D4/D$92</f>
        <v>1.945635708559192E-3</v>
      </c>
      <c r="BE4">
        <f>E4/E$92</f>
        <v>0.19044977117050718</v>
      </c>
      <c r="BF4">
        <f t="shared" si="0"/>
        <v>2.2183862555020476E-2</v>
      </c>
      <c r="BG4">
        <f t="shared" si="1"/>
        <v>2.9315676917703558E-3</v>
      </c>
      <c r="BH4">
        <f t="shared" si="2"/>
        <v>7.8601372879819346E-4</v>
      </c>
      <c r="BI4">
        <f t="shared" si="3"/>
        <v>1.3369929783815697E-3</v>
      </c>
      <c r="BJ4">
        <f t="shared" si="4"/>
        <v>5.8652486655563548E-3</v>
      </c>
      <c r="BK4">
        <f t="shared" si="5"/>
        <v>2.1402346088187424E-3</v>
      </c>
      <c r="BL4">
        <f t="shared" si="6"/>
        <v>8.3099847197916563E-3</v>
      </c>
      <c r="BM4">
        <f>M4/M$92</f>
        <v>4.7490729814429105E-3</v>
      </c>
      <c r="BN4">
        <f t="shared" si="7"/>
        <v>1.4292610486483542E-2</v>
      </c>
      <c r="BO4">
        <f t="shared" si="8"/>
        <v>1.077337668389932E-2</v>
      </c>
      <c r="BP4">
        <f t="shared" si="9"/>
        <v>4.2515725964683559E-3</v>
      </c>
      <c r="BQ4">
        <f t="shared" si="10"/>
        <v>5.9895171311218041E-3</v>
      </c>
      <c r="BR4">
        <f t="shared" si="11"/>
        <v>7.4874675566198425E-3</v>
      </c>
      <c r="BS4">
        <f t="shared" si="12"/>
        <v>2.7492881042666568E-2</v>
      </c>
      <c r="BT4">
        <f t="shared" si="13"/>
        <v>2.2412005837393275E-2</v>
      </c>
      <c r="BU4">
        <f t="shared" si="14"/>
        <v>3.3828506963563175E-2</v>
      </c>
      <c r="BV4">
        <f t="shared" si="15"/>
        <v>3.9508030655126623E-3</v>
      </c>
      <c r="BW4">
        <f t="shared" si="16"/>
        <v>1.9884803813541934E-3</v>
      </c>
      <c r="BX4">
        <f t="shared" si="17"/>
        <v>4.4632422554528417E-4</v>
      </c>
      <c r="BY4">
        <f t="shared" si="18"/>
        <v>2.2036874117247103E-4</v>
      </c>
      <c r="BZ4">
        <f t="shared" si="19"/>
        <v>4.9247409188177629E-4</v>
      </c>
      <c r="CA4">
        <f t="shared" si="20"/>
        <v>0.12501889252175169</v>
      </c>
      <c r="CB4">
        <f t="shared" si="21"/>
        <v>2.7052807766394442E-4</v>
      </c>
      <c r="CC4">
        <f t="shared" si="22"/>
        <v>2.3208669426651437E-4</v>
      </c>
      <c r="CD4">
        <f t="shared" si="23"/>
        <v>1.0051197468115231E-3</v>
      </c>
      <c r="CE4">
        <f t="shared" si="24"/>
        <v>5.2827374165018333E-4</v>
      </c>
      <c r="CF4">
        <f t="shared" si="25"/>
        <v>1.2841568186031302E-3</v>
      </c>
      <c r="CG4">
        <f t="shared" si="26"/>
        <v>2.5040167224462653E-4</v>
      </c>
      <c r="CH4">
        <f t="shared" si="27"/>
        <v>2.3463175807398755E-4</v>
      </c>
      <c r="CI4">
        <f t="shared" si="28"/>
        <v>1.860196957871409E-4</v>
      </c>
      <c r="CJ4">
        <f t="shared" si="29"/>
        <v>1.5428423645888483E-2</v>
      </c>
      <c r="CK4">
        <f t="shared" si="30"/>
        <v>3.3489205624853073E-4</v>
      </c>
      <c r="CL4">
        <f t="shared" si="31"/>
        <v>1.0264827028820445E-3</v>
      </c>
      <c r="CM4">
        <f t="shared" si="32"/>
        <v>1.2136702026907309E-2</v>
      </c>
      <c r="CN4">
        <f t="shared" si="33"/>
        <v>7.6810984802461494E-4</v>
      </c>
      <c r="CO4">
        <f t="shared" si="34"/>
        <v>3.7709040228718941E-4</v>
      </c>
      <c r="CP4">
        <f t="shared" si="35"/>
        <v>1.9277684724575933E-3</v>
      </c>
      <c r="CQ4">
        <f t="shared" si="36"/>
        <v>2.3809596037382023E-4</v>
      </c>
      <c r="CR4">
        <f t="shared" si="37"/>
        <v>2.8998960916242872E-4</v>
      </c>
      <c r="CS4" s="25">
        <f>AS4/AS$92</f>
        <v>2.2567616608269942E-4</v>
      </c>
    </row>
    <row r="5" spans="1:97" x14ac:dyDescent="0.25">
      <c r="A5" s="14"/>
      <c r="B5" s="11"/>
      <c r="C5" t="s">
        <v>2</v>
      </c>
      <c r="D5">
        <v>11.51333786</v>
      </c>
      <c r="E5">
        <v>276.39690039999999</v>
      </c>
      <c r="F5">
        <v>18.08703349</v>
      </c>
      <c r="G5">
        <v>12.480181529999999</v>
      </c>
      <c r="H5">
        <v>0.18318823000000001</v>
      </c>
      <c r="I5">
        <v>0.17425968</v>
      </c>
      <c r="J5">
        <v>5.4682558400000003</v>
      </c>
      <c r="K5">
        <v>4.7837860299999999</v>
      </c>
      <c r="L5">
        <v>1.9372907699999999</v>
      </c>
      <c r="M5">
        <v>92.494701899999995</v>
      </c>
      <c r="N5">
        <v>6.19573033</v>
      </c>
      <c r="O5">
        <v>9.7334479300000005</v>
      </c>
      <c r="P5">
        <v>2.5615526800000001</v>
      </c>
      <c r="Q5">
        <v>2.3950220999999998</v>
      </c>
      <c r="R5">
        <v>3.3350719999999998</v>
      </c>
      <c r="S5">
        <v>10.775654380000001</v>
      </c>
      <c r="T5">
        <v>0.57544401999999995</v>
      </c>
      <c r="U5">
        <v>0.15985160000000001</v>
      </c>
      <c r="V5">
        <v>3.6789046399999998</v>
      </c>
      <c r="W5">
        <v>0.13172776999999999</v>
      </c>
      <c r="X5">
        <v>29.278154879999999</v>
      </c>
      <c r="Y5">
        <v>0</v>
      </c>
      <c r="Z5">
        <v>4.0803104299999999</v>
      </c>
      <c r="AA5">
        <v>126.50292342</v>
      </c>
      <c r="AB5">
        <v>0.24894642</v>
      </c>
      <c r="AC5">
        <v>0.1393163</v>
      </c>
      <c r="AD5">
        <v>3.576973E-2</v>
      </c>
      <c r="AE5">
        <v>3.9446368199999999</v>
      </c>
      <c r="AF5">
        <v>37.4039231</v>
      </c>
      <c r="AG5">
        <v>171.23642964999999</v>
      </c>
      <c r="AH5">
        <v>5.0887999999999997E-4</v>
      </c>
      <c r="AI5">
        <v>3.8478800000000001E-3</v>
      </c>
      <c r="AJ5">
        <v>7.8102018099999997</v>
      </c>
      <c r="AK5">
        <v>1.176457E-2</v>
      </c>
      <c r="AL5">
        <v>9.3346499999999999E-3</v>
      </c>
      <c r="AM5">
        <v>2.5888410000000001E-2</v>
      </c>
      <c r="AN5">
        <v>5.0897409999999997E-2</v>
      </c>
      <c r="AO5">
        <v>3.7341579999999999E-2</v>
      </c>
      <c r="AP5">
        <v>0.35636606999999998</v>
      </c>
      <c r="AQ5">
        <v>6.3823899999999999E-3</v>
      </c>
      <c r="AR5">
        <v>2.2375949999999999E-2</v>
      </c>
      <c r="AS5">
        <v>1.4171889999999999E-2</v>
      </c>
      <c r="AT5" s="4">
        <v>0</v>
      </c>
      <c r="AU5" s="1">
        <v>-23.460180130000001</v>
      </c>
      <c r="AV5" s="1">
        <v>4.1469342400000002</v>
      </c>
      <c r="AW5" s="1">
        <v>0</v>
      </c>
      <c r="AX5" s="1">
        <v>27.607114379999999</v>
      </c>
      <c r="AY5" s="4">
        <v>848.42776964999996</v>
      </c>
      <c r="AZ5">
        <f t="shared" si="38"/>
        <v>848.42776965999974</v>
      </c>
      <c r="BB5" s="18"/>
      <c r="BC5" s="4" t="s">
        <v>2</v>
      </c>
      <c r="BD5">
        <f t="shared" ref="BD5:BE44" si="39">D5/D$92</f>
        <v>9.5705530180140407E-3</v>
      </c>
      <c r="BE5">
        <f>E5/E$92</f>
        <v>3.7637913023636324E-2</v>
      </c>
      <c r="BF5">
        <f t="shared" si="0"/>
        <v>2.1318295012017617E-2</v>
      </c>
      <c r="BG5">
        <f t="shared" si="1"/>
        <v>1.0879622321113094E-3</v>
      </c>
      <c r="BH5">
        <f t="shared" si="2"/>
        <v>5.980937844247834E-5</v>
      </c>
      <c r="BI5">
        <f t="shared" si="3"/>
        <v>5.1920075576367258E-5</v>
      </c>
      <c r="BJ5">
        <f t="shared" si="4"/>
        <v>1.8761003100334927E-3</v>
      </c>
      <c r="BK5">
        <f t="shared" si="5"/>
        <v>1.054182786373868E-3</v>
      </c>
      <c r="BL5">
        <f t="shared" si="6"/>
        <v>3.4326865489728265E-4</v>
      </c>
      <c r="BM5">
        <f>M5/M$92</f>
        <v>5.1669460553073971E-3</v>
      </c>
      <c r="BN5">
        <f t="shared" si="7"/>
        <v>4.0724729996342689E-4</v>
      </c>
      <c r="BO5">
        <f t="shared" si="8"/>
        <v>1.460574104422556E-3</v>
      </c>
      <c r="BP5">
        <f t="shared" si="9"/>
        <v>3.7616631052382138E-4</v>
      </c>
      <c r="BQ5">
        <f t="shared" si="10"/>
        <v>4.7290666053551245E-4</v>
      </c>
      <c r="BR5">
        <f t="shared" si="11"/>
        <v>2.7075488385971106E-4</v>
      </c>
      <c r="BS5">
        <f t="shared" si="12"/>
        <v>9.4719406159552919E-4</v>
      </c>
      <c r="BT5">
        <f t="shared" si="13"/>
        <v>3.7634132223188981E-5</v>
      </c>
      <c r="BU5">
        <f t="shared" si="14"/>
        <v>1.1947176626345199E-4</v>
      </c>
      <c r="BV5">
        <f t="shared" si="15"/>
        <v>2.0580675297388012E-3</v>
      </c>
      <c r="BW5">
        <f t="shared" si="16"/>
        <v>2.6655485099591741E-4</v>
      </c>
      <c r="BX5">
        <f t="shared" si="17"/>
        <v>2.9226786731192909E-3</v>
      </c>
      <c r="BY5">
        <f t="shared" si="18"/>
        <v>0</v>
      </c>
      <c r="BZ5">
        <f t="shared" si="19"/>
        <v>6.8615476193337657E-3</v>
      </c>
      <c r="CA5">
        <f t="shared" si="20"/>
        <v>4.0977733084861662E-3</v>
      </c>
      <c r="CB5">
        <f t="shared" si="21"/>
        <v>1.3508835172001411E-5</v>
      </c>
      <c r="CC5">
        <f t="shared" si="22"/>
        <v>8.7707419618476375E-6</v>
      </c>
      <c r="CD5">
        <f t="shared" si="23"/>
        <v>5.5107151404818981E-6</v>
      </c>
      <c r="CE5">
        <f t="shared" si="24"/>
        <v>2.4687766310368389E-4</v>
      </c>
      <c r="CF5">
        <f t="shared" si="25"/>
        <v>1.0093899494724027E-2</v>
      </c>
      <c r="CG5">
        <f t="shared" si="26"/>
        <v>0.10399841533720212</v>
      </c>
      <c r="CH5">
        <f t="shared" si="27"/>
        <v>3.0361045048690743E-8</v>
      </c>
      <c r="CI5">
        <f t="shared" si="28"/>
        <v>3.0267862721591505E-7</v>
      </c>
      <c r="CJ5">
        <f t="shared" si="29"/>
        <v>6.3312904136960182E-4</v>
      </c>
      <c r="CK5">
        <f t="shared" si="30"/>
        <v>7.987984799998961E-7</v>
      </c>
      <c r="CL5">
        <f t="shared" si="31"/>
        <v>3.0532419014847105E-6</v>
      </c>
      <c r="CM5">
        <f t="shared" si="32"/>
        <v>3.8102517513917076E-6</v>
      </c>
      <c r="CN5">
        <f t="shared" si="33"/>
        <v>3.3826344040024528E-5</v>
      </c>
      <c r="CO5">
        <f t="shared" si="34"/>
        <v>7.5818863453048252E-6</v>
      </c>
      <c r="CP5">
        <f t="shared" si="35"/>
        <v>5.6142086727254039E-5</v>
      </c>
      <c r="CQ5">
        <f t="shared" si="36"/>
        <v>1.0135089910016096E-6</v>
      </c>
      <c r="CR5">
        <f t="shared" si="37"/>
        <v>9.7101078865531816E-6</v>
      </c>
      <c r="CS5" s="25">
        <f>AS5/AS$92</f>
        <v>1.4160663372565083E-6</v>
      </c>
    </row>
    <row r="6" spans="1:97" x14ac:dyDescent="0.25">
      <c r="A6" s="14"/>
      <c r="B6" s="11"/>
      <c r="C6" t="s">
        <v>3</v>
      </c>
      <c r="D6">
        <v>5.2808198500000003</v>
      </c>
      <c r="E6">
        <v>21.410927919999999</v>
      </c>
      <c r="F6">
        <v>3.4347663599999998</v>
      </c>
      <c r="G6">
        <v>1393.76657406</v>
      </c>
      <c r="H6">
        <v>11.93990382</v>
      </c>
      <c r="I6">
        <v>22.39518095</v>
      </c>
      <c r="J6">
        <v>12.290539519999999</v>
      </c>
      <c r="K6">
        <v>13.03629656</v>
      </c>
      <c r="L6">
        <v>9.0359543799999997</v>
      </c>
      <c r="M6">
        <v>229.29413779999999</v>
      </c>
      <c r="N6">
        <v>88.443059629999993</v>
      </c>
      <c r="O6">
        <v>22.033659310000001</v>
      </c>
      <c r="P6">
        <v>36.94845377</v>
      </c>
      <c r="Q6">
        <v>19.445006660000001</v>
      </c>
      <c r="R6">
        <v>42.388914739999997</v>
      </c>
      <c r="S6">
        <v>46.758719980000002</v>
      </c>
      <c r="T6">
        <v>85.712162599999999</v>
      </c>
      <c r="U6">
        <v>3.5102043300000001</v>
      </c>
      <c r="V6">
        <v>5.24301672</v>
      </c>
      <c r="W6">
        <v>1.12592128</v>
      </c>
      <c r="X6">
        <v>48.894162229999999</v>
      </c>
      <c r="Y6">
        <v>7.1447030600000003</v>
      </c>
      <c r="Z6">
        <v>5.71939039</v>
      </c>
      <c r="AA6">
        <v>108.54808463000001</v>
      </c>
      <c r="AB6">
        <v>31.95077663</v>
      </c>
      <c r="AC6">
        <v>94.218426710000003</v>
      </c>
      <c r="AD6">
        <v>1666.0934572900001</v>
      </c>
      <c r="AE6">
        <v>1580.9091845200001</v>
      </c>
      <c r="AF6">
        <v>6.4877846300000002</v>
      </c>
      <c r="AG6">
        <v>2.1433219499999998</v>
      </c>
      <c r="AH6">
        <v>79.338665989999996</v>
      </c>
      <c r="AI6">
        <v>34.196778649999999</v>
      </c>
      <c r="AJ6">
        <v>36.493101410000001</v>
      </c>
      <c r="AK6">
        <v>179.33645798000001</v>
      </c>
      <c r="AL6">
        <v>15.5631193</v>
      </c>
      <c r="AM6">
        <v>26.283960530000002</v>
      </c>
      <c r="AN6">
        <v>14.397598479999999</v>
      </c>
      <c r="AO6">
        <v>93.549615660000001</v>
      </c>
      <c r="AP6">
        <v>102.63462126</v>
      </c>
      <c r="AQ6">
        <v>84.801221659999996</v>
      </c>
      <c r="AR6">
        <v>175.70920190999999</v>
      </c>
      <c r="AS6">
        <v>34.85113252</v>
      </c>
      <c r="AT6" s="4">
        <v>0</v>
      </c>
      <c r="AU6" s="1">
        <v>94.653997880000006</v>
      </c>
      <c r="AV6" s="1">
        <v>4968.3942947599999</v>
      </c>
      <c r="AW6" s="1">
        <v>4262.31015174</v>
      </c>
      <c r="AX6" s="1">
        <v>611.43014514000004</v>
      </c>
      <c r="AY6" s="4">
        <v>11471.15328237</v>
      </c>
      <c r="AZ6">
        <f t="shared" si="38"/>
        <v>11471.15328239</v>
      </c>
      <c r="BB6" s="18"/>
      <c r="BC6" s="4" t="s">
        <v>3</v>
      </c>
      <c r="BD6">
        <f t="shared" si="39"/>
        <v>4.3897232034330273E-3</v>
      </c>
      <c r="BE6">
        <f>E6/E$92</f>
        <v>2.9155994211297843E-3</v>
      </c>
      <c r="BF6">
        <f t="shared" si="0"/>
        <v>4.0483898368584214E-3</v>
      </c>
      <c r="BG6">
        <f t="shared" si="1"/>
        <v>0.12150186992964759</v>
      </c>
      <c r="BH6">
        <f t="shared" si="2"/>
        <v>3.8982757032871205E-3</v>
      </c>
      <c r="BI6">
        <f t="shared" si="3"/>
        <v>6.6725675582006132E-3</v>
      </c>
      <c r="BJ6">
        <f t="shared" si="4"/>
        <v>4.2167531437137173E-3</v>
      </c>
      <c r="BK6">
        <f t="shared" si="5"/>
        <v>2.8727537865268758E-3</v>
      </c>
      <c r="BL6">
        <f t="shared" si="6"/>
        <v>1.6010812386907771E-3</v>
      </c>
      <c r="BM6">
        <f>M6/M$92</f>
        <v>1.2808846522817116E-2</v>
      </c>
      <c r="BN6">
        <f t="shared" si="7"/>
        <v>5.8133900793616135E-3</v>
      </c>
      <c r="BO6">
        <f t="shared" si="8"/>
        <v>3.3063095878558793E-3</v>
      </c>
      <c r="BP6">
        <f t="shared" si="9"/>
        <v>5.4259136041741986E-3</v>
      </c>
      <c r="BQ6">
        <f t="shared" si="10"/>
        <v>3.8394940755124558E-3</v>
      </c>
      <c r="BR6">
        <f t="shared" si="11"/>
        <v>3.4413067206248904E-3</v>
      </c>
      <c r="BS6">
        <f t="shared" si="12"/>
        <v>4.110152416828371E-3</v>
      </c>
      <c r="BT6">
        <f t="shared" si="13"/>
        <v>5.6055893333010458E-3</v>
      </c>
      <c r="BU6">
        <f t="shared" si="14"/>
        <v>2.6234977394703402E-3</v>
      </c>
      <c r="BV6">
        <f t="shared" si="15"/>
        <v>2.9330693576525083E-3</v>
      </c>
      <c r="BW6">
        <f t="shared" si="16"/>
        <v>2.2783334070221686E-3</v>
      </c>
      <c r="BX6">
        <f t="shared" si="17"/>
        <v>4.88083780468258E-3</v>
      </c>
      <c r="BY6">
        <f t="shared" si="18"/>
        <v>3.3798217698593298E-3</v>
      </c>
      <c r="BZ6">
        <f t="shared" si="19"/>
        <v>9.6178636865491916E-3</v>
      </c>
      <c r="CA6">
        <f t="shared" si="20"/>
        <v>3.5161673094883448E-3</v>
      </c>
      <c r="CB6">
        <f t="shared" si="21"/>
        <v>1.7337777948849586E-3</v>
      </c>
      <c r="CC6">
        <f t="shared" si="22"/>
        <v>5.9315780617534581E-3</v>
      </c>
      <c r="CD6">
        <f t="shared" si="23"/>
        <v>0.25667978037703487</v>
      </c>
      <c r="CE6">
        <f t="shared" si="24"/>
        <v>9.8942230391047312E-2</v>
      </c>
      <c r="CF6">
        <f t="shared" si="25"/>
        <v>1.7508068825709704E-3</v>
      </c>
      <c r="CG6">
        <f t="shared" si="26"/>
        <v>1.3017211747117384E-3</v>
      </c>
      <c r="CH6">
        <f t="shared" si="27"/>
        <v>4.7335419199524805E-3</v>
      </c>
      <c r="CI6">
        <f t="shared" si="28"/>
        <v>2.6899575914499704E-3</v>
      </c>
      <c r="CJ6">
        <f t="shared" si="29"/>
        <v>2.9582900511910034E-3</v>
      </c>
      <c r="CK6">
        <f t="shared" si="30"/>
        <v>1.2176704294588689E-2</v>
      </c>
      <c r="CL6">
        <f t="shared" si="31"/>
        <v>5.0904927302647014E-3</v>
      </c>
      <c r="CM6">
        <f t="shared" si="32"/>
        <v>3.8684688106740825E-3</v>
      </c>
      <c r="CN6">
        <f t="shared" si="33"/>
        <v>9.5686228343370358E-3</v>
      </c>
      <c r="CO6">
        <f t="shared" si="34"/>
        <v>1.8994444091039224E-2</v>
      </c>
      <c r="CP6">
        <f t="shared" si="35"/>
        <v>1.6169108939012605E-2</v>
      </c>
      <c r="CQ6">
        <f t="shared" si="36"/>
        <v>1.3466240796994612E-2</v>
      </c>
      <c r="CR6">
        <f t="shared" si="37"/>
        <v>7.6249513750533779E-2</v>
      </c>
      <c r="CS6" s="25">
        <f>AS6/AS$92</f>
        <v>3.482352429833818E-3</v>
      </c>
    </row>
    <row r="7" spans="1:97" x14ac:dyDescent="0.25">
      <c r="A7" s="14"/>
      <c r="B7" s="11"/>
      <c r="C7" t="s">
        <v>4</v>
      </c>
      <c r="D7">
        <v>0.32563088000000001</v>
      </c>
      <c r="E7">
        <v>13.09983991</v>
      </c>
      <c r="F7">
        <v>2.26694818</v>
      </c>
      <c r="G7">
        <v>33.266781450000003</v>
      </c>
      <c r="H7">
        <v>804.78135538000004</v>
      </c>
      <c r="I7">
        <v>879.46743171000003</v>
      </c>
      <c r="J7">
        <v>29.310613629999999</v>
      </c>
      <c r="K7">
        <v>85.502577790000004</v>
      </c>
      <c r="L7">
        <v>0.50294488000000004</v>
      </c>
      <c r="M7">
        <v>80.022292179999994</v>
      </c>
      <c r="N7">
        <v>5.38869446</v>
      </c>
      <c r="O7">
        <v>10.62904618</v>
      </c>
      <c r="P7">
        <v>7.1114076700000002</v>
      </c>
      <c r="Q7">
        <v>9.5217111200000009</v>
      </c>
      <c r="R7">
        <v>8.62334903</v>
      </c>
      <c r="S7">
        <v>9.9010317800000003</v>
      </c>
      <c r="T7">
        <v>10.60973751</v>
      </c>
      <c r="U7">
        <v>0.86138784999999995</v>
      </c>
      <c r="V7">
        <v>13.09532031</v>
      </c>
      <c r="W7">
        <v>0.67436830999999997</v>
      </c>
      <c r="X7">
        <v>0.14393753000000001</v>
      </c>
      <c r="Y7">
        <v>7.58014E-3</v>
      </c>
      <c r="Z7">
        <v>3.5372359999999999E-2</v>
      </c>
      <c r="AA7">
        <v>9.8683192300000009</v>
      </c>
      <c r="AB7">
        <v>0.38609086999999997</v>
      </c>
      <c r="AC7">
        <v>17.2609444</v>
      </c>
      <c r="AD7">
        <v>29.67346306</v>
      </c>
      <c r="AE7">
        <v>0.20974314999999999</v>
      </c>
      <c r="AF7">
        <v>0.49814361000000001</v>
      </c>
      <c r="AG7">
        <v>0.10591505</v>
      </c>
      <c r="AH7">
        <v>0.45016289999999998</v>
      </c>
      <c r="AI7">
        <v>4.4534310000000001E-2</v>
      </c>
      <c r="AJ7">
        <v>0.23386291000000001</v>
      </c>
      <c r="AK7">
        <v>2.40711217</v>
      </c>
      <c r="AL7">
        <v>9.8190559999999996E-2</v>
      </c>
      <c r="AM7">
        <v>12.57582449</v>
      </c>
      <c r="AN7">
        <v>3.9737601300000001</v>
      </c>
      <c r="AO7">
        <v>13.873844269999999</v>
      </c>
      <c r="AP7">
        <v>10.342738049999999</v>
      </c>
      <c r="AQ7">
        <v>61.79934823</v>
      </c>
      <c r="AR7">
        <v>1.8677632799999999</v>
      </c>
      <c r="AS7">
        <v>8.2908664400000003</v>
      </c>
      <c r="AT7" s="4">
        <v>0</v>
      </c>
      <c r="AU7" s="1">
        <v>-3.39048398</v>
      </c>
      <c r="AV7" s="1">
        <v>883.75799035</v>
      </c>
      <c r="AW7" s="1">
        <v>127.08005110000001</v>
      </c>
      <c r="AX7" s="1">
        <v>760.06842324000002</v>
      </c>
      <c r="AY7" s="4">
        <v>3062.8679777299999</v>
      </c>
      <c r="AZ7">
        <f t="shared" si="38"/>
        <v>3062.8679777000011</v>
      </c>
      <c r="BB7" s="18"/>
      <c r="BC7" s="4" t="s">
        <v>4</v>
      </c>
      <c r="BD7">
        <f t="shared" si="39"/>
        <v>2.7068324053703812E-4</v>
      </c>
      <c r="BE7">
        <f>E7/E$92</f>
        <v>1.783850088197805E-3</v>
      </c>
      <c r="BF7">
        <f t="shared" si="0"/>
        <v>2.6719401003440293E-3</v>
      </c>
      <c r="BG7">
        <f t="shared" si="1"/>
        <v>2.9000380895502172E-3</v>
      </c>
      <c r="BH7">
        <f t="shared" si="2"/>
        <v>0.26275417720545186</v>
      </c>
      <c r="BI7">
        <f t="shared" si="3"/>
        <v>0.26203431293651414</v>
      </c>
      <c r="BJ7">
        <f t="shared" si="4"/>
        <v>1.0056159208255866E-2</v>
      </c>
      <c r="BK7">
        <f t="shared" si="5"/>
        <v>1.8841843078171831E-2</v>
      </c>
      <c r="BL7">
        <f t="shared" si="6"/>
        <v>8.911683012100204E-5</v>
      </c>
      <c r="BM7">
        <f>M7/M$92</f>
        <v>4.4702113572205266E-3</v>
      </c>
      <c r="BN7">
        <f t="shared" si="7"/>
        <v>3.5420057883036953E-4</v>
      </c>
      <c r="BO7">
        <f t="shared" si="8"/>
        <v>1.594965085020955E-3</v>
      </c>
      <c r="BP7">
        <f t="shared" si="9"/>
        <v>1.0443166001390628E-3</v>
      </c>
      <c r="BQ7">
        <f t="shared" si="10"/>
        <v>1.8800998155061096E-3</v>
      </c>
      <c r="BR7">
        <f t="shared" si="11"/>
        <v>7.0007899832429468E-4</v>
      </c>
      <c r="BS7">
        <f t="shared" si="12"/>
        <v>8.703135953479432E-4</v>
      </c>
      <c r="BT7">
        <f t="shared" si="13"/>
        <v>6.9387855365091449E-4</v>
      </c>
      <c r="BU7">
        <f t="shared" si="14"/>
        <v>6.4379416832473007E-4</v>
      </c>
      <c r="BV7">
        <f t="shared" si="15"/>
        <v>7.3258363993745843E-3</v>
      </c>
      <c r="BW7">
        <f t="shared" si="16"/>
        <v>1.3646032601054327E-3</v>
      </c>
      <c r="BX7">
        <f t="shared" si="17"/>
        <v>1.4368499344193243E-5</v>
      </c>
      <c r="BY7">
        <f t="shared" si="18"/>
        <v>3.5858064324623585E-6</v>
      </c>
      <c r="BZ7">
        <f t="shared" si="19"/>
        <v>5.9483006676091774E-5</v>
      </c>
      <c r="CA7">
        <f t="shared" si="20"/>
        <v>3.1966166509889154E-4</v>
      </c>
      <c r="CB7">
        <f t="shared" si="21"/>
        <v>2.0950845263188057E-5</v>
      </c>
      <c r="CC7">
        <f t="shared" si="22"/>
        <v>1.0866731986867223E-3</v>
      </c>
      <c r="CD7">
        <f t="shared" si="23"/>
        <v>4.5715190513116073E-3</v>
      </c>
      <c r="CE7">
        <f t="shared" si="24"/>
        <v>1.3126911573067311E-5</v>
      </c>
      <c r="CF7">
        <f t="shared" si="25"/>
        <v>1.3443005750589309E-4</v>
      </c>
      <c r="CG7">
        <f t="shared" si="26"/>
        <v>6.4326249869112062E-5</v>
      </c>
      <c r="CH7">
        <f t="shared" si="27"/>
        <v>2.6857836987402265E-5</v>
      </c>
      <c r="CI7">
        <f t="shared" si="28"/>
        <v>3.5031195917772895E-6</v>
      </c>
      <c r="CJ7">
        <f t="shared" si="29"/>
        <v>1.8957948030309026E-5</v>
      </c>
      <c r="CK7">
        <f t="shared" si="30"/>
        <v>1.6343967884803706E-4</v>
      </c>
      <c r="CL7">
        <f t="shared" si="31"/>
        <v>3.2116847672087175E-5</v>
      </c>
      <c r="CM7">
        <f t="shared" si="32"/>
        <v>1.8509076953052439E-3</v>
      </c>
      <c r="CN7">
        <f t="shared" si="33"/>
        <v>2.6409551544943565E-3</v>
      </c>
      <c r="CO7">
        <f t="shared" si="34"/>
        <v>2.8169646390859356E-3</v>
      </c>
      <c r="CP7">
        <f t="shared" si="35"/>
        <v>1.629400062133778E-3</v>
      </c>
      <c r="CQ7">
        <f t="shared" si="36"/>
        <v>9.813595701476158E-3</v>
      </c>
      <c r="CR7">
        <f t="shared" si="37"/>
        <v>8.1052124961587943E-4</v>
      </c>
      <c r="CS7" s="25">
        <f>AS7/AS$92</f>
        <v>8.2842986167502766E-4</v>
      </c>
    </row>
    <row r="8" spans="1:97" x14ac:dyDescent="0.25">
      <c r="A8" s="14"/>
      <c r="B8" s="11"/>
      <c r="C8" t="s">
        <v>5</v>
      </c>
      <c r="D8">
        <v>0.43406527</v>
      </c>
      <c r="E8">
        <v>15.934285190000001</v>
      </c>
      <c r="F8">
        <v>2.22785148</v>
      </c>
      <c r="G8">
        <v>4.6618498800000001</v>
      </c>
      <c r="H8">
        <v>6.8712774999999997</v>
      </c>
      <c r="I8">
        <v>263.52603377999998</v>
      </c>
      <c r="J8">
        <v>19.131642589999998</v>
      </c>
      <c r="K8">
        <v>14.119332480000001</v>
      </c>
      <c r="L8">
        <v>0.85715282999999998</v>
      </c>
      <c r="M8">
        <v>16.589655449999999</v>
      </c>
      <c r="N8">
        <v>5.66076683</v>
      </c>
      <c r="O8">
        <v>4.8264788200000002</v>
      </c>
      <c r="P8">
        <v>5.8468717400000001</v>
      </c>
      <c r="Q8">
        <v>5.2791318499999997</v>
      </c>
      <c r="R8">
        <v>33.064337799999997</v>
      </c>
      <c r="S8">
        <v>7.02451895</v>
      </c>
      <c r="T8">
        <v>5.1816388699999996</v>
      </c>
      <c r="U8">
        <v>0.48481960000000002</v>
      </c>
      <c r="V8">
        <v>1.4491692300000001</v>
      </c>
      <c r="W8">
        <v>0.50829210000000002</v>
      </c>
      <c r="X8">
        <v>2.1891355699999999</v>
      </c>
      <c r="Y8">
        <v>0.40476130999999999</v>
      </c>
      <c r="Z8">
        <v>4.46698401</v>
      </c>
      <c r="AA8">
        <v>25.731618210000001</v>
      </c>
      <c r="AB8">
        <v>4.9761694800000003</v>
      </c>
      <c r="AC8">
        <v>8.7432631799999996</v>
      </c>
      <c r="AD8">
        <v>24.42911174</v>
      </c>
      <c r="AE8">
        <v>1.73851614</v>
      </c>
      <c r="AF8">
        <v>6.5366073900000004</v>
      </c>
      <c r="AG8">
        <v>1.8426394500000001</v>
      </c>
      <c r="AH8">
        <v>4.6756473600000001</v>
      </c>
      <c r="AI8">
        <v>9.0623155099999995</v>
      </c>
      <c r="AJ8">
        <v>10.86556392</v>
      </c>
      <c r="AK8">
        <v>97.034957939999998</v>
      </c>
      <c r="AL8">
        <v>0.12271492000000001</v>
      </c>
      <c r="AM8">
        <v>10.703197319999999</v>
      </c>
      <c r="AN8">
        <v>6.2939184099999999</v>
      </c>
      <c r="AO8">
        <v>21.318074809999999</v>
      </c>
      <c r="AP8">
        <v>3.6827282700000001</v>
      </c>
      <c r="AQ8">
        <v>16.918544099999998</v>
      </c>
      <c r="AR8">
        <v>75.998087130000002</v>
      </c>
      <c r="AS8">
        <v>146.22940754999999</v>
      </c>
      <c r="AT8" s="4">
        <v>0</v>
      </c>
      <c r="AU8" s="1">
        <v>19.674795190000001</v>
      </c>
      <c r="AV8" s="1">
        <v>2458.6632265799999</v>
      </c>
      <c r="AW8" s="1">
        <v>1263.77921406</v>
      </c>
      <c r="AX8" s="1">
        <v>1175.20921733</v>
      </c>
      <c r="AY8" s="4">
        <v>3356.30636254</v>
      </c>
      <c r="AZ8">
        <f t="shared" si="38"/>
        <v>3356.30636254</v>
      </c>
      <c r="BB8" s="18"/>
      <c r="BC8" s="4" t="s">
        <v>5</v>
      </c>
      <c r="BD8">
        <f t="shared" si="39"/>
        <v>3.6082018354089882E-4</v>
      </c>
      <c r="BE8">
        <f>E8/E$92</f>
        <v>2.1698262144297059E-3</v>
      </c>
      <c r="BF8">
        <f t="shared" si="0"/>
        <v>2.62585874681211E-3</v>
      </c>
      <c r="BG8">
        <f t="shared" si="1"/>
        <v>4.0639766248757762E-4</v>
      </c>
      <c r="BH8">
        <f t="shared" si="2"/>
        <v>2.24341288946777E-3</v>
      </c>
      <c r="BI8">
        <f t="shared" si="3"/>
        <v>7.8516680337057373E-2</v>
      </c>
      <c r="BJ8">
        <f t="shared" si="4"/>
        <v>6.5638627095671821E-3</v>
      </c>
      <c r="BK8">
        <f t="shared" si="5"/>
        <v>3.111417852337651E-3</v>
      </c>
      <c r="BL8">
        <f t="shared" si="6"/>
        <v>1.5187895567968828E-4</v>
      </c>
      <c r="BM8">
        <f>M8/M$92</f>
        <v>9.2673259144031436E-4</v>
      </c>
      <c r="BN8">
        <f t="shared" si="7"/>
        <v>3.7208398113738222E-4</v>
      </c>
      <c r="BO8">
        <f t="shared" si="8"/>
        <v>7.2424797777039473E-4</v>
      </c>
      <c r="BP8">
        <f t="shared" si="9"/>
        <v>8.5861836366441457E-4</v>
      </c>
      <c r="BQ8">
        <f t="shared" si="10"/>
        <v>1.0423856271347817E-3</v>
      </c>
      <c r="BR8">
        <f t="shared" si="11"/>
        <v>2.6842991518435748E-3</v>
      </c>
      <c r="BS8">
        <f t="shared" si="12"/>
        <v>6.1746436925023767E-4</v>
      </c>
      <c r="BT8">
        <f t="shared" si="13"/>
        <v>3.3888002236324489E-4</v>
      </c>
      <c r="BU8">
        <f t="shared" si="14"/>
        <v>3.6235016684937958E-4</v>
      </c>
      <c r="BV8">
        <f t="shared" si="15"/>
        <v>8.1070003960732743E-4</v>
      </c>
      <c r="BW8">
        <f t="shared" si="16"/>
        <v>1.0285433737920405E-3</v>
      </c>
      <c r="BX8">
        <f t="shared" si="17"/>
        <v>2.1852947596012726E-4</v>
      </c>
      <c r="BY8">
        <f t="shared" si="18"/>
        <v>1.9147347001637052E-4</v>
      </c>
      <c r="BZ8">
        <f t="shared" si="19"/>
        <v>7.5117871606199087E-3</v>
      </c>
      <c r="CA8">
        <f t="shared" si="20"/>
        <v>8.3351700841740586E-4</v>
      </c>
      <c r="CB8">
        <f t="shared" si="21"/>
        <v>2.7002699333159312E-4</v>
      </c>
      <c r="CC8">
        <f t="shared" si="22"/>
        <v>5.5043742373507912E-4</v>
      </c>
      <c r="CD8">
        <f t="shared" si="23"/>
        <v>3.7635698098403901E-3</v>
      </c>
      <c r="CE8">
        <f t="shared" si="24"/>
        <v>1.0880616429251831E-4</v>
      </c>
      <c r="CF8">
        <f t="shared" si="25"/>
        <v>1.7639822928395001E-3</v>
      </c>
      <c r="CG8">
        <f t="shared" si="26"/>
        <v>1.1191052232839736E-3</v>
      </c>
      <c r="CH8">
        <f t="shared" si="27"/>
        <v>2.7896073755846555E-4</v>
      </c>
      <c r="CI8">
        <f t="shared" si="28"/>
        <v>7.1285206866230104E-4</v>
      </c>
      <c r="CJ8">
        <f t="shared" si="29"/>
        <v>8.8081002718798287E-4</v>
      </c>
      <c r="CK8">
        <f t="shared" si="30"/>
        <v>6.5885431349659062E-3</v>
      </c>
      <c r="CL8">
        <f t="shared" si="31"/>
        <v>4.0138445006652005E-5</v>
      </c>
      <c r="CM8">
        <f t="shared" si="32"/>
        <v>1.5752947490410198E-3</v>
      </c>
      <c r="CN8">
        <f t="shared" si="33"/>
        <v>4.1829289446457911E-3</v>
      </c>
      <c r="CO8">
        <f t="shared" si="34"/>
        <v>4.3284515628456473E-3</v>
      </c>
      <c r="CP8">
        <f t="shared" si="35"/>
        <v>5.8017883107460322E-4</v>
      </c>
      <c r="CQ8">
        <f t="shared" si="36"/>
        <v>2.6866262575629559E-3</v>
      </c>
      <c r="CR8">
        <f t="shared" si="37"/>
        <v>3.2979588585243032E-2</v>
      </c>
      <c r="CS8" s="25">
        <f>AS8/AS$92</f>
        <v>1.4611356816099878E-2</v>
      </c>
    </row>
    <row r="9" spans="1:97" x14ac:dyDescent="0.25">
      <c r="A9" s="14"/>
      <c r="B9" s="11"/>
      <c r="C9" t="s">
        <v>6</v>
      </c>
      <c r="D9">
        <v>0.24146725999999999</v>
      </c>
      <c r="E9">
        <v>11.62558915</v>
      </c>
      <c r="F9">
        <v>0.40439618999999999</v>
      </c>
      <c r="G9">
        <v>2.6830624900000002</v>
      </c>
      <c r="H9">
        <v>1.46710813</v>
      </c>
      <c r="I9">
        <v>1.8865455799999999</v>
      </c>
      <c r="J9">
        <v>669.04253368000002</v>
      </c>
      <c r="K9">
        <v>55.049348289999998</v>
      </c>
      <c r="L9">
        <v>1.3602692000000001</v>
      </c>
      <c r="M9">
        <v>12.90430372</v>
      </c>
      <c r="N9">
        <v>1.8411168099999999</v>
      </c>
      <c r="O9">
        <v>36.005621419999997</v>
      </c>
      <c r="P9">
        <v>9.15541056</v>
      </c>
      <c r="Q9">
        <v>6.1473383699999999</v>
      </c>
      <c r="R9">
        <v>66.000650980000003</v>
      </c>
      <c r="S9">
        <v>10.679387330000001</v>
      </c>
      <c r="T9">
        <v>6.4826068000000001</v>
      </c>
      <c r="U9">
        <v>4.5703391099999999</v>
      </c>
      <c r="V9">
        <v>11.005682309999999</v>
      </c>
      <c r="W9">
        <v>0.51338377000000002</v>
      </c>
      <c r="X9">
        <v>2.29882791</v>
      </c>
      <c r="Y9">
        <v>8.0830349999999995E-2</v>
      </c>
      <c r="Z9">
        <v>0.17502355</v>
      </c>
      <c r="AA9">
        <v>699.01111562000006</v>
      </c>
      <c r="AB9">
        <v>2.0242557200000002</v>
      </c>
      <c r="AC9">
        <v>6.6686983800000004</v>
      </c>
      <c r="AD9">
        <v>6.5284826000000002</v>
      </c>
      <c r="AE9">
        <v>12.120744780000001</v>
      </c>
      <c r="AF9">
        <v>53.747396569999999</v>
      </c>
      <c r="AG9">
        <v>0.11471386</v>
      </c>
      <c r="AH9">
        <v>1.22165656</v>
      </c>
      <c r="AI9">
        <v>1.2724213799999999</v>
      </c>
      <c r="AJ9">
        <v>2.88201558</v>
      </c>
      <c r="AK9">
        <v>2.0883335299999999</v>
      </c>
      <c r="AL9">
        <v>6.2818689999999996E-2</v>
      </c>
      <c r="AM9">
        <v>63.041619849999996</v>
      </c>
      <c r="AN9">
        <v>6.0247783899999998</v>
      </c>
      <c r="AO9">
        <v>6.0365267899999999</v>
      </c>
      <c r="AP9">
        <v>0.63434106000000001</v>
      </c>
      <c r="AQ9">
        <v>3.90012516</v>
      </c>
      <c r="AR9">
        <v>2.1478453700000002</v>
      </c>
      <c r="AS9">
        <v>73.048929900000005</v>
      </c>
      <c r="AT9" s="4">
        <v>344.23999541000001</v>
      </c>
      <c r="AU9" s="1">
        <v>86.967642069999997</v>
      </c>
      <c r="AV9" s="1">
        <v>1060.4950169399999</v>
      </c>
      <c r="AW9" s="1">
        <v>217.33240502000001</v>
      </c>
      <c r="AX9" s="1">
        <v>411.95497444</v>
      </c>
      <c r="AY9" s="4">
        <v>2914.6926797000001</v>
      </c>
      <c r="AZ9">
        <f t="shared" si="38"/>
        <v>2914.6926796899997</v>
      </c>
      <c r="BB9" s="18"/>
      <c r="BC9" s="4" t="s">
        <v>6</v>
      </c>
      <c r="BD9">
        <f t="shared" si="39"/>
        <v>2.0072156676418257E-4</v>
      </c>
      <c r="BE9">
        <f>E9/E$92</f>
        <v>1.5830963105700232E-3</v>
      </c>
      <c r="BF9">
        <f t="shared" si="0"/>
        <v>4.7664185975673388E-4</v>
      </c>
      <c r="BG9">
        <f t="shared" si="1"/>
        <v>2.3389649008691366E-4</v>
      </c>
      <c r="BH9">
        <f t="shared" si="2"/>
        <v>4.7899816141684816E-4</v>
      </c>
      <c r="BI9">
        <f t="shared" si="3"/>
        <v>5.6208980236771696E-4</v>
      </c>
      <c r="BJ9">
        <f t="shared" si="4"/>
        <v>0.22954136411851597</v>
      </c>
      <c r="BK9">
        <f t="shared" si="5"/>
        <v>1.2130993109743608E-2</v>
      </c>
      <c r="BL9">
        <f t="shared" si="6"/>
        <v>2.410261721229399E-4</v>
      </c>
      <c r="BM9">
        <f>M9/M$92</f>
        <v>7.2086119348358673E-4</v>
      </c>
      <c r="BN9">
        <f t="shared" si="7"/>
        <v>1.210171860061859E-4</v>
      </c>
      <c r="BO9">
        <f t="shared" si="8"/>
        <v>5.4029033327036144E-3</v>
      </c>
      <c r="BP9">
        <f t="shared" si="9"/>
        <v>1.3444802594050234E-3</v>
      </c>
      <c r="BQ9">
        <f t="shared" si="10"/>
        <v>1.213816465300475E-3</v>
      </c>
      <c r="BR9">
        <f t="shared" si="11"/>
        <v>5.3582047376354172E-3</v>
      </c>
      <c r="BS9">
        <f t="shared" si="12"/>
        <v>9.3873206245638084E-4</v>
      </c>
      <c r="BT9">
        <f t="shared" si="13"/>
        <v>4.2396353595288734E-4</v>
      </c>
      <c r="BU9">
        <f t="shared" si="14"/>
        <v>3.4158337226191863E-3</v>
      </c>
      <c r="BV9">
        <f t="shared" si="15"/>
        <v>6.1568427619889928E-3</v>
      </c>
      <c r="BW9">
        <f t="shared" si="16"/>
        <v>1.0388465113777628E-3</v>
      </c>
      <c r="BX9">
        <f t="shared" si="17"/>
        <v>2.2947946457916931E-4</v>
      </c>
      <c r="BY9">
        <f t="shared" si="18"/>
        <v>3.8237023190624951E-5</v>
      </c>
      <c r="BZ9">
        <f t="shared" si="19"/>
        <v>2.9432378820987018E-4</v>
      </c>
      <c r="CA9">
        <f t="shared" si="20"/>
        <v>2.2642868753418203E-2</v>
      </c>
      <c r="CB9">
        <f t="shared" si="21"/>
        <v>1.098442663584439E-4</v>
      </c>
      <c r="CC9">
        <f t="shared" si="22"/>
        <v>4.1983194150556227E-4</v>
      </c>
      <c r="CD9">
        <f t="shared" si="23"/>
        <v>1.0057836027331667E-3</v>
      </c>
      <c r="CE9">
        <f t="shared" si="24"/>
        <v>7.5858470194033612E-4</v>
      </c>
      <c r="CF9">
        <f t="shared" si="25"/>
        <v>1.4504382805787953E-2</v>
      </c>
      <c r="CG9">
        <f t="shared" si="26"/>
        <v>6.9670102802296178E-5</v>
      </c>
      <c r="CH9">
        <f t="shared" si="27"/>
        <v>7.2887065422473993E-5</v>
      </c>
      <c r="CI9">
        <f t="shared" si="28"/>
        <v>1.0009011625585522E-4</v>
      </c>
      <c r="CJ9">
        <f t="shared" si="29"/>
        <v>2.3362875963606593E-4</v>
      </c>
      <c r="CK9">
        <f t="shared" si="30"/>
        <v>1.4179503793991768E-4</v>
      </c>
      <c r="CL9">
        <f t="shared" si="31"/>
        <v>2.0547171720887078E-5</v>
      </c>
      <c r="CM9">
        <f t="shared" si="32"/>
        <v>9.278454816036702E-3</v>
      </c>
      <c r="CN9">
        <f t="shared" si="33"/>
        <v>4.0040588820736672E-3</v>
      </c>
      <c r="CO9">
        <f t="shared" si="34"/>
        <v>1.2256647962450376E-3</v>
      </c>
      <c r="CP9">
        <f t="shared" si="35"/>
        <v>9.9934403982899551E-5</v>
      </c>
      <c r="CQ9">
        <f t="shared" si="36"/>
        <v>6.1933098975330424E-4</v>
      </c>
      <c r="CR9">
        <f t="shared" si="37"/>
        <v>9.320636784732599E-4</v>
      </c>
      <c r="CS9" s="25">
        <f>AS9/AS$92</f>
        <v>7.299106230996744E-3</v>
      </c>
    </row>
    <row r="10" spans="1:97" x14ac:dyDescent="0.25">
      <c r="A10" s="14"/>
      <c r="B10" s="11"/>
      <c r="C10" t="s">
        <v>7</v>
      </c>
      <c r="D10">
        <v>2.0390827300000001</v>
      </c>
      <c r="E10">
        <v>80.622596389999998</v>
      </c>
      <c r="F10">
        <v>2.07879324</v>
      </c>
      <c r="G10">
        <v>141.25792003999999</v>
      </c>
      <c r="H10">
        <v>15.741969360000001</v>
      </c>
      <c r="I10">
        <v>30.015904469999999</v>
      </c>
      <c r="J10">
        <v>28.981637490000001</v>
      </c>
      <c r="K10">
        <v>655.48461698999995</v>
      </c>
      <c r="L10">
        <v>2.2115231400000002</v>
      </c>
      <c r="M10">
        <v>125.4864481</v>
      </c>
      <c r="N10">
        <v>14.662783449999999</v>
      </c>
      <c r="O10">
        <v>28.080443580000001</v>
      </c>
      <c r="P10">
        <v>27.837037840000001</v>
      </c>
      <c r="Q10">
        <v>20.840489959999999</v>
      </c>
      <c r="R10">
        <v>20.77767205</v>
      </c>
      <c r="S10">
        <v>44.90553723</v>
      </c>
      <c r="T10">
        <v>48.7613257</v>
      </c>
      <c r="U10">
        <v>4.3335650599999997</v>
      </c>
      <c r="V10">
        <v>6.8663298800000003</v>
      </c>
      <c r="W10">
        <v>0.85939458000000002</v>
      </c>
      <c r="X10">
        <v>9.1244318</v>
      </c>
      <c r="Y10">
        <v>1.12935392</v>
      </c>
      <c r="Z10">
        <v>0.61503417999999999</v>
      </c>
      <c r="AA10">
        <v>51.699018940000002</v>
      </c>
      <c r="AB10">
        <v>69.370106079999999</v>
      </c>
      <c r="AC10">
        <v>152.2203595</v>
      </c>
      <c r="AD10">
        <v>31.68923118</v>
      </c>
      <c r="AE10">
        <v>12.73750645</v>
      </c>
      <c r="AF10">
        <v>4.2296153800000003</v>
      </c>
      <c r="AG10">
        <v>1.33202142</v>
      </c>
      <c r="AH10">
        <v>273.77401021999998</v>
      </c>
      <c r="AI10">
        <v>162.50304600999999</v>
      </c>
      <c r="AJ10">
        <v>14.494956090000001</v>
      </c>
      <c r="AK10">
        <v>592.15521987</v>
      </c>
      <c r="AL10">
        <v>8.8682381199999991</v>
      </c>
      <c r="AM10">
        <v>86.393392879999993</v>
      </c>
      <c r="AN10">
        <v>2.6823705599999998</v>
      </c>
      <c r="AO10">
        <v>41.961418559999998</v>
      </c>
      <c r="AP10">
        <v>134.77376082999999</v>
      </c>
      <c r="AQ10">
        <v>25.681084349999999</v>
      </c>
      <c r="AR10">
        <v>92.370989530000003</v>
      </c>
      <c r="AS10">
        <v>144.63627596000001</v>
      </c>
      <c r="AT10" s="4">
        <v>100.45332677</v>
      </c>
      <c r="AU10" s="1">
        <v>-17.929891000000001</v>
      </c>
      <c r="AV10" s="1">
        <v>1321.6229384799999</v>
      </c>
      <c r="AW10" s="1">
        <v>444.48773349999999</v>
      </c>
      <c r="AX10" s="1">
        <v>794.61176921000003</v>
      </c>
      <c r="AY10" s="4">
        <v>4537.9094515899997</v>
      </c>
      <c r="AZ10">
        <f t="shared" si="38"/>
        <v>4537.9094515900006</v>
      </c>
      <c r="BB10" s="18"/>
      <c r="BC10" s="4" t="s">
        <v>7</v>
      </c>
      <c r="BD10">
        <f t="shared" si="39"/>
        <v>1.6950036221365442E-3</v>
      </c>
      <c r="BE10">
        <f>E10/E$92</f>
        <v>1.09786552102252E-2</v>
      </c>
      <c r="BF10">
        <f t="shared" si="0"/>
        <v>2.450171145191369E-3</v>
      </c>
      <c r="BG10">
        <f t="shared" si="1"/>
        <v>1.2314186425950108E-2</v>
      </c>
      <c r="BH10">
        <f t="shared" si="2"/>
        <v>5.1396173372172359E-3</v>
      </c>
      <c r="BI10">
        <f t="shared" si="3"/>
        <v>8.9431360632328694E-3</v>
      </c>
      <c r="BJ10">
        <f t="shared" si="4"/>
        <v>9.9432910001276183E-3</v>
      </c>
      <c r="BK10">
        <f t="shared" si="5"/>
        <v>0.14444638527524731</v>
      </c>
      <c r="BL10">
        <f t="shared" si="6"/>
        <v>3.9185990316880254E-4</v>
      </c>
      <c r="BM10">
        <f>M10/M$92</f>
        <v>7.0099334846856947E-3</v>
      </c>
      <c r="BN10">
        <f t="shared" si="7"/>
        <v>9.6378936007709048E-4</v>
      </c>
      <c r="BO10">
        <f t="shared" si="8"/>
        <v>4.2136732048708471E-3</v>
      </c>
      <c r="BP10">
        <f t="shared" si="9"/>
        <v>4.0878939956779667E-3</v>
      </c>
      <c r="BQ10">
        <f t="shared" si="10"/>
        <v>4.1150378156875785E-3</v>
      </c>
      <c r="BR10">
        <f t="shared" si="11"/>
        <v>1.6868170110788958E-3</v>
      </c>
      <c r="BS10">
        <f t="shared" si="12"/>
        <v>3.9472552382487369E-3</v>
      </c>
      <c r="BT10">
        <f t="shared" si="13"/>
        <v>3.1889986080171329E-3</v>
      </c>
      <c r="BU10">
        <f t="shared" si="14"/>
        <v>3.2388707522213243E-3</v>
      </c>
      <c r="BV10">
        <f t="shared" si="15"/>
        <v>3.8411896902289153E-3</v>
      </c>
      <c r="BW10">
        <f t="shared" si="16"/>
        <v>1.7390091263110201E-3</v>
      </c>
      <c r="BX10">
        <f t="shared" si="17"/>
        <v>9.1084231009408011E-4</v>
      </c>
      <c r="BY10">
        <f t="shared" si="18"/>
        <v>5.3424403122667653E-4</v>
      </c>
      <c r="BZ10">
        <f t="shared" si="19"/>
        <v>1.0342561885880567E-3</v>
      </c>
      <c r="CA10">
        <f t="shared" si="20"/>
        <v>1.6746716531118471E-3</v>
      </c>
      <c r="CB10">
        <f t="shared" si="21"/>
        <v>3.764301285790625E-3</v>
      </c>
      <c r="CC10">
        <f t="shared" si="22"/>
        <v>9.5831248354584682E-3</v>
      </c>
      <c r="CD10">
        <f t="shared" si="23"/>
        <v>4.8820700087436235E-3</v>
      </c>
      <c r="CE10">
        <f t="shared" si="24"/>
        <v>7.9718513253245469E-4</v>
      </c>
      <c r="CF10">
        <f t="shared" si="25"/>
        <v>1.1414126917360435E-3</v>
      </c>
      <c r="CG10">
        <f t="shared" si="26"/>
        <v>8.0898741674511286E-4</v>
      </c>
      <c r="CH10">
        <f t="shared" si="27"/>
        <v>1.633403760699996E-2</v>
      </c>
      <c r="CI10">
        <f t="shared" si="28"/>
        <v>1.2782674845554299E-2</v>
      </c>
      <c r="CJ10">
        <f t="shared" si="29"/>
        <v>1.1750243946585259E-3</v>
      </c>
      <c r="CK10">
        <f t="shared" si="30"/>
        <v>4.0206542997845249E-2</v>
      </c>
      <c r="CL10">
        <f t="shared" si="31"/>
        <v>2.9006846770182055E-3</v>
      </c>
      <c r="CM10">
        <f t="shared" si="32"/>
        <v>1.2715364772486679E-2</v>
      </c>
      <c r="CN10">
        <f t="shared" si="33"/>
        <v>1.782699540220087E-3</v>
      </c>
      <c r="CO10">
        <f t="shared" si="34"/>
        <v>8.5199047927185852E-3</v>
      </c>
      <c r="CP10">
        <f t="shared" si="35"/>
        <v>2.1232324864923456E-2</v>
      </c>
      <c r="CQ10">
        <f t="shared" si="36"/>
        <v>4.07809768556853E-3</v>
      </c>
      <c r="CR10">
        <f t="shared" si="37"/>
        <v>4.008465669274263E-2</v>
      </c>
      <c r="CS10" s="25">
        <f>AS10/AS$92</f>
        <v>1.4452169861119355E-2</v>
      </c>
    </row>
    <row r="11" spans="1:97" x14ac:dyDescent="0.25">
      <c r="A11" s="14"/>
      <c r="B11" s="11"/>
      <c r="C11" t="s">
        <v>8</v>
      </c>
      <c r="D11">
        <v>48.42744604</v>
      </c>
      <c r="E11">
        <v>177.09005943</v>
      </c>
      <c r="F11">
        <v>58.382213229999998</v>
      </c>
      <c r="G11">
        <v>16.073187059999999</v>
      </c>
      <c r="H11">
        <v>6.5581835499999999</v>
      </c>
      <c r="I11">
        <v>4.4057420399999998</v>
      </c>
      <c r="J11">
        <v>13.90284647</v>
      </c>
      <c r="K11">
        <v>10.960638510000001</v>
      </c>
      <c r="L11">
        <v>88.250778949999997</v>
      </c>
      <c r="M11">
        <v>796.30670067999995</v>
      </c>
      <c r="N11">
        <v>778.16395254999998</v>
      </c>
      <c r="O11">
        <v>61.109742619999999</v>
      </c>
      <c r="P11">
        <v>25.487081150000002</v>
      </c>
      <c r="Q11">
        <v>10.41352279</v>
      </c>
      <c r="R11">
        <v>19.03304198</v>
      </c>
      <c r="S11">
        <v>22.92778384</v>
      </c>
      <c r="T11">
        <v>7.0680424200000003</v>
      </c>
      <c r="U11">
        <v>1.71725087</v>
      </c>
      <c r="V11">
        <v>18.263945880000001</v>
      </c>
      <c r="W11">
        <v>2.41681583</v>
      </c>
      <c r="X11">
        <v>82.712937139999994</v>
      </c>
      <c r="Y11">
        <v>16.471193769999999</v>
      </c>
      <c r="Z11">
        <v>2.9753543800000002</v>
      </c>
      <c r="AA11">
        <v>360.54737304000002</v>
      </c>
      <c r="AB11">
        <v>41.31203953</v>
      </c>
      <c r="AC11">
        <v>1523.9927806999999</v>
      </c>
      <c r="AD11">
        <v>10.79688642</v>
      </c>
      <c r="AE11">
        <v>104.36260806999999</v>
      </c>
      <c r="AF11">
        <v>13.7114563</v>
      </c>
      <c r="AG11">
        <v>1.4442938000000001</v>
      </c>
      <c r="AH11">
        <v>8.8764423400000005</v>
      </c>
      <c r="AI11">
        <v>5.0454891399999999</v>
      </c>
      <c r="AJ11">
        <v>5.1363422099999996</v>
      </c>
      <c r="AK11">
        <v>400.31980374</v>
      </c>
      <c r="AL11">
        <v>0.17831785</v>
      </c>
      <c r="AM11">
        <v>121.73539319</v>
      </c>
      <c r="AN11">
        <v>17.981024059999999</v>
      </c>
      <c r="AO11">
        <v>28.298456259999998</v>
      </c>
      <c r="AP11">
        <v>11.89938944</v>
      </c>
      <c r="AQ11">
        <v>3.4206563000000001</v>
      </c>
      <c r="AR11">
        <v>7.2200374199999997</v>
      </c>
      <c r="AS11">
        <v>61.559409870000003</v>
      </c>
      <c r="AT11" s="4">
        <v>0</v>
      </c>
      <c r="AU11" s="1">
        <v>-7.9590252499999998</v>
      </c>
      <c r="AV11" s="1">
        <v>646.70098853000002</v>
      </c>
      <c r="AW11" s="1">
        <v>379.13451264000003</v>
      </c>
      <c r="AX11" s="1">
        <v>275.52550115000003</v>
      </c>
      <c r="AY11" s="4">
        <v>5643.6576493700004</v>
      </c>
      <c r="AZ11">
        <f t="shared" si="38"/>
        <v>5643.6576493900011</v>
      </c>
      <c r="BB11" s="18"/>
      <c r="BC11" s="4" t="s">
        <v>8</v>
      </c>
      <c r="BD11">
        <f t="shared" si="39"/>
        <v>4.0255696956749784E-2</v>
      </c>
      <c r="BE11">
        <f>E11/E$92</f>
        <v>2.4114960205888502E-2</v>
      </c>
      <c r="BF11">
        <f t="shared" si="0"/>
        <v>6.8812237550164343E-2</v>
      </c>
      <c r="BG11">
        <f t="shared" si="1"/>
        <v>1.4011831822241302E-3</v>
      </c>
      <c r="BH11">
        <f t="shared" si="2"/>
        <v>2.1411904129276542E-3</v>
      </c>
      <c r="BI11">
        <f t="shared" si="3"/>
        <v>1.3126757703605242E-3</v>
      </c>
      <c r="BJ11">
        <f t="shared" si="4"/>
        <v>4.7699184778294953E-3</v>
      </c>
      <c r="BK11">
        <f t="shared" si="5"/>
        <v>2.415349761140659E-3</v>
      </c>
      <c r="BL11">
        <f t="shared" si="6"/>
        <v>1.5637160230626571E-2</v>
      </c>
      <c r="BM11">
        <f>M11/M$92</f>
        <v>4.4483345330867806E-2</v>
      </c>
      <c r="BN11">
        <f t="shared" si="7"/>
        <v>5.1148960933691201E-2</v>
      </c>
      <c r="BO11">
        <f t="shared" si="8"/>
        <v>9.1699578854889299E-3</v>
      </c>
      <c r="BP11">
        <f t="shared" si="9"/>
        <v>3.7428007462320602E-3</v>
      </c>
      <c r="BQ11">
        <f t="shared" si="10"/>
        <v>2.0561915846327066E-3</v>
      </c>
      <c r="BR11">
        <f t="shared" si="11"/>
        <v>1.5451807549557866E-3</v>
      </c>
      <c r="BS11">
        <f t="shared" si="12"/>
        <v>2.0153820763870803E-3</v>
      </c>
      <c r="BT11">
        <f t="shared" si="13"/>
        <v>4.6225112043633484E-4</v>
      </c>
      <c r="BU11">
        <f t="shared" si="14"/>
        <v>1.2834591243149869E-3</v>
      </c>
      <c r="BV11">
        <f t="shared" si="15"/>
        <v>1.0217289562725594E-2</v>
      </c>
      <c r="BW11">
        <f t="shared" si="16"/>
        <v>4.8904948702177559E-3</v>
      </c>
      <c r="BX11">
        <f t="shared" si="17"/>
        <v>8.2567818348167205E-3</v>
      </c>
      <c r="BY11">
        <f t="shared" si="18"/>
        <v>7.7917442911080697E-3</v>
      </c>
      <c r="BZ11">
        <f t="shared" si="19"/>
        <v>5.0034270953161998E-3</v>
      </c>
      <c r="CA11">
        <f t="shared" si="20"/>
        <v>1.1679108764806101E-2</v>
      </c>
      <c r="CB11">
        <f t="shared" si="21"/>
        <v>2.2417576144697186E-3</v>
      </c>
      <c r="CC11">
        <f t="shared" si="22"/>
        <v>9.5943887622900931E-2</v>
      </c>
      <c r="CD11">
        <f t="shared" si="23"/>
        <v>1.6633775391862728E-3</v>
      </c>
      <c r="CE11">
        <f t="shared" si="24"/>
        <v>6.5316017599124018E-3</v>
      </c>
      <c r="CF11">
        <f t="shared" si="25"/>
        <v>3.7002017528610675E-3</v>
      </c>
      <c r="CG11">
        <f t="shared" si="26"/>
        <v>8.7717471561604677E-4</v>
      </c>
      <c r="CH11">
        <f t="shared" si="27"/>
        <v>5.2959060241480481E-4</v>
      </c>
      <c r="CI11">
        <f t="shared" si="28"/>
        <v>3.9688392739066909E-4</v>
      </c>
      <c r="CJ11">
        <f t="shared" si="29"/>
        <v>4.1637431383652324E-4</v>
      </c>
      <c r="CK11">
        <f t="shared" si="30"/>
        <v>2.7181176255602093E-2</v>
      </c>
      <c r="CL11">
        <f t="shared" si="31"/>
        <v>5.8325436026274726E-5</v>
      </c>
      <c r="CM11">
        <f t="shared" si="32"/>
        <v>1.7916994327135411E-2</v>
      </c>
      <c r="CN11">
        <f t="shared" si="33"/>
        <v>1.195016221936477E-2</v>
      </c>
      <c r="CO11">
        <f t="shared" si="34"/>
        <v>5.745757922158084E-3</v>
      </c>
      <c r="CP11">
        <f t="shared" si="35"/>
        <v>1.874635691164007E-3</v>
      </c>
      <c r="CQ11">
        <f t="shared" si="36"/>
        <v>5.4319242715915187E-4</v>
      </c>
      <c r="CR11">
        <f t="shared" si="37"/>
        <v>3.1331560131816118E-3</v>
      </c>
      <c r="CS11" s="25">
        <f>AS11/AS$92</f>
        <v>6.1510643998988887E-3</v>
      </c>
    </row>
    <row r="12" spans="1:97" x14ac:dyDescent="0.25">
      <c r="A12" s="14"/>
      <c r="B12" s="11"/>
      <c r="C12" t="s">
        <v>9</v>
      </c>
      <c r="D12">
        <v>41.566952929999999</v>
      </c>
      <c r="E12">
        <v>542.29026202</v>
      </c>
      <c r="F12">
        <v>89.566456020000004</v>
      </c>
      <c r="G12">
        <v>207.73558928</v>
      </c>
      <c r="H12">
        <v>566.36449748999996</v>
      </c>
      <c r="I12">
        <v>224.27649792</v>
      </c>
      <c r="J12">
        <v>138.01064898999999</v>
      </c>
      <c r="K12">
        <v>454.79403328000001</v>
      </c>
      <c r="L12">
        <v>77.542769179999993</v>
      </c>
      <c r="M12">
        <v>5541.11871668</v>
      </c>
      <c r="N12">
        <v>183.90647781999999</v>
      </c>
      <c r="O12">
        <v>206.05997572000001</v>
      </c>
      <c r="P12">
        <v>151.79560703999999</v>
      </c>
      <c r="Q12">
        <v>174.86276315000001</v>
      </c>
      <c r="R12">
        <v>395.88022914999999</v>
      </c>
      <c r="S12">
        <v>941.23776477000001</v>
      </c>
      <c r="T12">
        <v>480.09487295000002</v>
      </c>
      <c r="U12">
        <v>54.771693800000001</v>
      </c>
      <c r="V12">
        <v>83.282242440000005</v>
      </c>
      <c r="W12">
        <v>9.1718250099999992</v>
      </c>
      <c r="X12">
        <v>6.21021467</v>
      </c>
      <c r="Y12">
        <v>0.82758259000000001</v>
      </c>
      <c r="Z12">
        <v>56.147846379999997</v>
      </c>
      <c r="AA12">
        <v>773.97801775999994</v>
      </c>
      <c r="AB12">
        <v>12.240744360000001</v>
      </c>
      <c r="AC12">
        <v>155.51167312999999</v>
      </c>
      <c r="AD12">
        <v>72.155190869999998</v>
      </c>
      <c r="AE12">
        <v>1006.79378525</v>
      </c>
      <c r="AF12">
        <v>42.749916480000003</v>
      </c>
      <c r="AG12">
        <v>9.2396003400000009</v>
      </c>
      <c r="AH12">
        <v>27.364484470000001</v>
      </c>
      <c r="AI12">
        <v>0.96391855000000004</v>
      </c>
      <c r="AJ12">
        <v>20.284097760000002</v>
      </c>
      <c r="AK12">
        <v>47.18196451</v>
      </c>
      <c r="AL12">
        <v>81.890594719999996</v>
      </c>
      <c r="AM12">
        <v>153.29364228</v>
      </c>
      <c r="AN12">
        <v>84.015003710000002</v>
      </c>
      <c r="AO12">
        <v>235.72188152999999</v>
      </c>
      <c r="AP12">
        <v>22.138527750000002</v>
      </c>
      <c r="AQ12">
        <v>1290.6916747499999</v>
      </c>
      <c r="AR12">
        <v>19.907662989999999</v>
      </c>
      <c r="AS12">
        <v>21.950378520000001</v>
      </c>
      <c r="AT12" s="4">
        <v>0</v>
      </c>
      <c r="AU12" s="1">
        <v>-196.41881708</v>
      </c>
      <c r="AV12" s="1">
        <v>3195.6440756799998</v>
      </c>
      <c r="AW12" s="1">
        <v>1194.94853128</v>
      </c>
      <c r="AX12" s="1">
        <v>2197.1143614799998</v>
      </c>
      <c r="AY12" s="4">
        <v>17901.23235468</v>
      </c>
      <c r="AZ12">
        <f t="shared" si="38"/>
        <v>17901.232354689997</v>
      </c>
      <c r="BB12" s="18"/>
      <c r="BC12" s="4" t="s">
        <v>9</v>
      </c>
      <c r="BD12">
        <f t="shared" si="39"/>
        <v>3.4552857881116596E-2</v>
      </c>
      <c r="BE12">
        <f>E12/E$92</f>
        <v>7.3845523180381206E-2</v>
      </c>
      <c r="BF12">
        <f t="shared" si="0"/>
        <v>0.10556756770926183</v>
      </c>
      <c r="BG12">
        <f t="shared" si="1"/>
        <v>1.8109390064459021E-2</v>
      </c>
      <c r="BH12">
        <f t="shared" si="2"/>
        <v>0.18491312769801577</v>
      </c>
      <c r="BI12">
        <f t="shared" si="3"/>
        <v>6.6822415386102937E-2</v>
      </c>
      <c r="BJ12">
        <f t="shared" si="4"/>
        <v>4.7349983053840167E-2</v>
      </c>
      <c r="BK12">
        <f t="shared" si="5"/>
        <v>0.10022104630572704</v>
      </c>
      <c r="BL12">
        <f t="shared" si="6"/>
        <v>1.3739807408171909E-2</v>
      </c>
      <c r="BM12">
        <f>M12/M$92</f>
        <v>0.30953839416763085</v>
      </c>
      <c r="BN12">
        <f t="shared" si="7"/>
        <v>1.2088230531166266E-2</v>
      </c>
      <c r="BO12">
        <f t="shared" si="8"/>
        <v>3.0920786411868403E-2</v>
      </c>
      <c r="BP12">
        <f t="shared" si="9"/>
        <v>2.2291321158368915E-2</v>
      </c>
      <c r="BQ12">
        <f t="shared" si="10"/>
        <v>3.4527349611211844E-2</v>
      </c>
      <c r="BR12">
        <f t="shared" si="11"/>
        <v>3.2139187839382195E-2</v>
      </c>
      <c r="BS12">
        <f t="shared" si="12"/>
        <v>8.2736026036090579E-2</v>
      </c>
      <c r="BT12">
        <f t="shared" si="13"/>
        <v>3.1398282544104671E-2</v>
      </c>
      <c r="BU12">
        <f t="shared" si="14"/>
        <v>4.0935911805242878E-2</v>
      </c>
      <c r="BV12">
        <f t="shared" si="15"/>
        <v>4.659008475131303E-2</v>
      </c>
      <c r="BW12">
        <f t="shared" si="16"/>
        <v>1.855944611300395E-2</v>
      </c>
      <c r="BX12">
        <f t="shared" si="17"/>
        <v>6.1993189276760723E-4</v>
      </c>
      <c r="BY12">
        <f t="shared" si="18"/>
        <v>3.9149025936405647E-4</v>
      </c>
      <c r="BZ12">
        <f t="shared" si="19"/>
        <v>9.441956151836392E-2</v>
      </c>
      <c r="CA12">
        <f t="shared" si="20"/>
        <v>2.5071250345749203E-2</v>
      </c>
      <c r="CB12">
        <f t="shared" si="21"/>
        <v>6.642320782996033E-4</v>
      </c>
      <c r="CC12">
        <f t="shared" si="22"/>
        <v>9.7903314764921593E-3</v>
      </c>
      <c r="CD12">
        <f t="shared" si="23"/>
        <v>1.1116290304446531E-2</v>
      </c>
      <c r="CE12">
        <f t="shared" si="24"/>
        <v>6.3010844412751843E-2</v>
      </c>
      <c r="CF12">
        <f t="shared" si="25"/>
        <v>1.1536580245962658E-2</v>
      </c>
      <c r="CG12">
        <f t="shared" si="26"/>
        <v>5.6115617200914588E-3</v>
      </c>
      <c r="CH12">
        <f t="shared" si="27"/>
        <v>1.6326331271181189E-3</v>
      </c>
      <c r="CI12">
        <f t="shared" si="28"/>
        <v>7.5822931968241045E-5</v>
      </c>
      <c r="CJ12">
        <f t="shared" si="29"/>
        <v>1.6443174814500842E-3</v>
      </c>
      <c r="CK12">
        <f t="shared" si="30"/>
        <v>3.203591931876562E-3</v>
      </c>
      <c r="CL12">
        <f t="shared" si="31"/>
        <v>2.6785342260996027E-2</v>
      </c>
      <c r="CM12">
        <f t="shared" si="32"/>
        <v>2.2561732025048426E-2</v>
      </c>
      <c r="CN12">
        <f t="shared" si="33"/>
        <v>5.5836248249535626E-2</v>
      </c>
      <c r="CO12">
        <f t="shared" si="34"/>
        <v>4.7861298714780377E-2</v>
      </c>
      <c r="CP12">
        <f t="shared" si="35"/>
        <v>3.4877145990756648E-3</v>
      </c>
      <c r="CQ12">
        <f t="shared" si="36"/>
        <v>0.20495889736760842</v>
      </c>
      <c r="CR12">
        <f t="shared" si="37"/>
        <v>8.6389876363703842E-3</v>
      </c>
      <c r="CS12" s="25">
        <f>AS12/AS$92</f>
        <v>2.1932989962672824E-3</v>
      </c>
    </row>
    <row r="13" spans="1:97" x14ac:dyDescent="0.25">
      <c r="A13" s="14"/>
      <c r="B13" s="11"/>
      <c r="C13" t="s">
        <v>10</v>
      </c>
      <c r="D13">
        <v>5.2802265799999999</v>
      </c>
      <c r="E13">
        <v>358.56941277999999</v>
      </c>
      <c r="F13">
        <v>15.800995929999999</v>
      </c>
      <c r="G13">
        <v>3.2801516899999998</v>
      </c>
      <c r="H13">
        <v>8.7004230099999997</v>
      </c>
      <c r="I13">
        <v>3.0283078400000001</v>
      </c>
      <c r="J13">
        <v>38.59269784</v>
      </c>
      <c r="K13">
        <v>189.07452925000001</v>
      </c>
      <c r="L13">
        <v>1.5278373000000001</v>
      </c>
      <c r="M13">
        <v>166.65140002000001</v>
      </c>
      <c r="N13">
        <v>3821.9622697999998</v>
      </c>
      <c r="O13">
        <v>2029.5877084199999</v>
      </c>
      <c r="P13">
        <v>1014.18925588</v>
      </c>
      <c r="Q13">
        <v>440.40320839999998</v>
      </c>
      <c r="R13">
        <v>859.95182247000002</v>
      </c>
      <c r="S13">
        <v>2001.6448516999999</v>
      </c>
      <c r="T13">
        <v>367.88910912</v>
      </c>
      <c r="U13">
        <v>52.418220519999998</v>
      </c>
      <c r="V13">
        <v>35.737854159999998</v>
      </c>
      <c r="W13">
        <v>54.668628079999998</v>
      </c>
      <c r="X13">
        <v>2.1520940300000002</v>
      </c>
      <c r="Y13">
        <v>0.96428506000000003</v>
      </c>
      <c r="Z13">
        <v>0.2542625</v>
      </c>
      <c r="AA13">
        <v>2730.1373469999999</v>
      </c>
      <c r="AB13">
        <v>0.31524208999999997</v>
      </c>
      <c r="AC13">
        <v>0.50391830999999998</v>
      </c>
      <c r="AD13">
        <v>5.5166159999999999E-2</v>
      </c>
      <c r="AE13">
        <v>14.27028413</v>
      </c>
      <c r="AF13">
        <v>80.895308380000003</v>
      </c>
      <c r="AG13">
        <v>1.74555708</v>
      </c>
      <c r="AH13">
        <v>8.9722000000000001E-4</v>
      </c>
      <c r="AI13">
        <v>2.5808E-4</v>
      </c>
      <c r="AJ13">
        <v>8.8009017000000007</v>
      </c>
      <c r="AK13">
        <v>0.1490031</v>
      </c>
      <c r="AL13">
        <v>2.4966976700000001</v>
      </c>
      <c r="AM13">
        <v>23.847449449999999</v>
      </c>
      <c r="AN13">
        <v>0.74193134000000005</v>
      </c>
      <c r="AO13">
        <v>0.30346392999999999</v>
      </c>
      <c r="AP13">
        <v>0.69976090999999996</v>
      </c>
      <c r="AQ13">
        <v>1.8500599999999999E-3</v>
      </c>
      <c r="AR13">
        <v>3.5589309999999999E-2</v>
      </c>
      <c r="AS13">
        <v>2.0693500000000002E-3</v>
      </c>
      <c r="AT13" s="4">
        <v>0</v>
      </c>
      <c r="AU13" s="1">
        <v>63.892591750000001</v>
      </c>
      <c r="AV13" s="1">
        <v>876.34831096000005</v>
      </c>
      <c r="AW13" s="1">
        <v>0</v>
      </c>
      <c r="AX13" s="1">
        <v>812.45571921999999</v>
      </c>
      <c r="AY13" s="4">
        <v>15213.68055861</v>
      </c>
      <c r="AZ13">
        <f t="shared" si="38"/>
        <v>15213.680558609998</v>
      </c>
      <c r="BB13" s="18"/>
      <c r="BC13" s="4" t="s">
        <v>10</v>
      </c>
      <c r="BD13">
        <f t="shared" si="39"/>
        <v>4.389230043060419E-3</v>
      </c>
      <c r="BE13">
        <f>E13/E$92</f>
        <v>4.8827625605131396E-2</v>
      </c>
      <c r="BF13">
        <f t="shared" si="0"/>
        <v>1.8623855200227732E-2</v>
      </c>
      <c r="BG13">
        <f t="shared" si="1"/>
        <v>2.8594785626616474E-4</v>
      </c>
      <c r="BH13">
        <f t="shared" si="2"/>
        <v>2.8406131355422589E-3</v>
      </c>
      <c r="BI13">
        <f t="shared" si="3"/>
        <v>9.0227396217705373E-4</v>
      </c>
      <c r="BJ13">
        <f t="shared" si="4"/>
        <v>1.324074339262314E-2</v>
      </c>
      <c r="BK13">
        <f t="shared" si="5"/>
        <v>4.1665557954959874E-2</v>
      </c>
      <c r="BL13">
        <f t="shared" si="6"/>
        <v>2.7071757270226199E-4</v>
      </c>
      <c r="BM13">
        <f>M13/M$92</f>
        <v>9.3094931521131175E-3</v>
      </c>
      <c r="BN13">
        <f t="shared" si="7"/>
        <v>0.25121878003656434</v>
      </c>
      <c r="BO13">
        <f t="shared" si="8"/>
        <v>0.30455428239729321</v>
      </c>
      <c r="BP13">
        <f t="shared" si="9"/>
        <v>0.14893460264782818</v>
      </c>
      <c r="BQ13">
        <f t="shared" si="10"/>
        <v>8.6959369006895326E-2</v>
      </c>
      <c r="BR13">
        <f t="shared" si="11"/>
        <v>6.9814431537853383E-2</v>
      </c>
      <c r="BS13">
        <f t="shared" si="12"/>
        <v>0.17594719077780066</v>
      </c>
      <c r="BT13">
        <f t="shared" si="13"/>
        <v>2.4060007394104608E-2</v>
      </c>
      <c r="BU13">
        <f t="shared" si="14"/>
        <v>3.917694530371621E-2</v>
      </c>
      <c r="BV13">
        <f t="shared" si="15"/>
        <v>1.999261313531539E-2</v>
      </c>
      <c r="BW13">
        <f t="shared" si="16"/>
        <v>0.1106235079514033</v>
      </c>
      <c r="BX13">
        <f t="shared" si="17"/>
        <v>2.1483182085101221E-4</v>
      </c>
      <c r="BY13">
        <f t="shared" si="18"/>
        <v>4.5615774522308978E-4</v>
      </c>
      <c r="BZ13">
        <f t="shared" si="19"/>
        <v>4.2757390191041213E-4</v>
      </c>
      <c r="CA13">
        <f t="shared" si="20"/>
        <v>8.8436564520287628E-2</v>
      </c>
      <c r="CB13">
        <f t="shared" si="21"/>
        <v>1.7106305176379859E-5</v>
      </c>
      <c r="CC13">
        <f t="shared" si="22"/>
        <v>3.1724482109131137E-5</v>
      </c>
      <c r="CD13">
        <f t="shared" si="23"/>
        <v>8.4989457050485673E-6</v>
      </c>
      <c r="CE13">
        <f t="shared" si="24"/>
        <v>8.931150213823708E-4</v>
      </c>
      <c r="CF13">
        <f t="shared" si="25"/>
        <v>2.1830574033621257E-2</v>
      </c>
      <c r="CG13">
        <f t="shared" si="26"/>
        <v>1.0601433968909766E-3</v>
      </c>
      <c r="CH13">
        <f t="shared" si="27"/>
        <v>5.3530374230833025E-8</v>
      </c>
      <c r="CI13">
        <f t="shared" si="28"/>
        <v>2.030086699998008E-8</v>
      </c>
      <c r="CJ13">
        <f t="shared" si="29"/>
        <v>7.1343949773163408E-4</v>
      </c>
      <c r="CK13">
        <f t="shared" si="30"/>
        <v>1.0117110085219648E-5</v>
      </c>
      <c r="CL13">
        <f t="shared" si="31"/>
        <v>8.1663714669358213E-4</v>
      </c>
      <c r="CM13">
        <f t="shared" si="32"/>
        <v>3.5098635270797902E-3</v>
      </c>
      <c r="CN13">
        <f t="shared" si="33"/>
        <v>4.9308648044991705E-4</v>
      </c>
      <c r="CO13">
        <f t="shared" si="34"/>
        <v>6.1615738465258817E-5</v>
      </c>
      <c r="CP13">
        <f t="shared" si="35"/>
        <v>1.1024067947198847E-4</v>
      </c>
      <c r="CQ13">
        <f t="shared" si="36"/>
        <v>2.9378531300851843E-7</v>
      </c>
      <c r="CR13">
        <f t="shared" si="37"/>
        <v>1.5444083478376829E-5</v>
      </c>
      <c r="CS13" s="25">
        <f>AS13/AS$92</f>
        <v>2.0677107111343342E-7</v>
      </c>
    </row>
    <row r="14" spans="1:97" x14ac:dyDescent="0.25">
      <c r="A14" s="14"/>
      <c r="B14" s="11"/>
      <c r="C14" t="s">
        <v>11</v>
      </c>
      <c r="D14">
        <v>16.563548749999999</v>
      </c>
      <c r="E14">
        <v>78.322832529999999</v>
      </c>
      <c r="F14">
        <v>20.396803890000001</v>
      </c>
      <c r="G14">
        <v>27.016657980000002</v>
      </c>
      <c r="H14">
        <v>8.8062125400000006</v>
      </c>
      <c r="I14">
        <v>8.45208227</v>
      </c>
      <c r="J14">
        <v>40.125939539999997</v>
      </c>
      <c r="K14">
        <v>22.189959930000001</v>
      </c>
      <c r="L14">
        <v>2.97928149</v>
      </c>
      <c r="M14">
        <v>78.112376139999995</v>
      </c>
      <c r="N14">
        <v>43.970308189999997</v>
      </c>
      <c r="O14">
        <v>991.39151289999995</v>
      </c>
      <c r="P14">
        <v>396.05216658000001</v>
      </c>
      <c r="Q14">
        <v>218.57262405</v>
      </c>
      <c r="R14">
        <v>238.32621653999999</v>
      </c>
      <c r="S14">
        <v>483.43876332000002</v>
      </c>
      <c r="T14">
        <v>87.787898279999993</v>
      </c>
      <c r="U14">
        <v>27.138969400000001</v>
      </c>
      <c r="V14">
        <v>14.992957970000001</v>
      </c>
      <c r="W14">
        <v>8.4245629700000002</v>
      </c>
      <c r="X14">
        <v>10.326282920000001</v>
      </c>
      <c r="Y14">
        <v>2.2167823200000001</v>
      </c>
      <c r="Z14">
        <v>3.0815498099999998</v>
      </c>
      <c r="AA14">
        <v>1664.5122252000001</v>
      </c>
      <c r="AB14">
        <v>1.12798518</v>
      </c>
      <c r="AC14">
        <v>8.1348480500000004</v>
      </c>
      <c r="AD14">
        <v>14.49355765</v>
      </c>
      <c r="AE14">
        <v>16.95709948</v>
      </c>
      <c r="AF14">
        <v>88.154373609999993</v>
      </c>
      <c r="AG14">
        <v>1.84598558</v>
      </c>
      <c r="AH14">
        <v>23.23885752</v>
      </c>
      <c r="AI14">
        <v>6.757647E-2</v>
      </c>
      <c r="AJ14">
        <v>26.724789099999999</v>
      </c>
      <c r="AK14">
        <v>58.253655649999999</v>
      </c>
      <c r="AL14">
        <v>23.210851219999999</v>
      </c>
      <c r="AM14">
        <v>264.63446071999999</v>
      </c>
      <c r="AN14">
        <v>13.66320786</v>
      </c>
      <c r="AO14">
        <v>77.765687869999994</v>
      </c>
      <c r="AP14">
        <v>15.142617700000001</v>
      </c>
      <c r="AQ14">
        <v>14.147127749999999</v>
      </c>
      <c r="AR14">
        <v>4.8748318700000004</v>
      </c>
      <c r="AS14">
        <v>11.15671611</v>
      </c>
      <c r="AT14" s="4">
        <v>413.68620320999997</v>
      </c>
      <c r="AU14" s="1">
        <v>151.19560218999999</v>
      </c>
      <c r="AV14" s="1">
        <v>1507.3319308299999</v>
      </c>
      <c r="AW14" s="1">
        <v>73.521628280000002</v>
      </c>
      <c r="AX14" s="1">
        <v>868.92849716000001</v>
      </c>
      <c r="AY14" s="4">
        <v>6664.1246757500003</v>
      </c>
      <c r="AZ14">
        <f t="shared" si="38"/>
        <v>6664.1246757300005</v>
      </c>
      <c r="BB14" s="18"/>
      <c r="BC14" s="4" t="s">
        <v>11</v>
      </c>
      <c r="BD14">
        <f t="shared" si="39"/>
        <v>1.3768580702306878E-2</v>
      </c>
      <c r="BE14">
        <f>E14/E$92</f>
        <v>1.0665488485083511E-2</v>
      </c>
      <c r="BF14">
        <f t="shared" si="0"/>
        <v>2.4040707552717012E-2</v>
      </c>
      <c r="BG14">
        <f t="shared" si="1"/>
        <v>2.3551823705010339E-3</v>
      </c>
      <c r="BH14">
        <f t="shared" si="2"/>
        <v>2.8751525054298436E-3</v>
      </c>
      <c r="BI14">
        <f t="shared" si="3"/>
        <v>2.5182690008157581E-3</v>
      </c>
      <c r="BJ14">
        <f t="shared" si="4"/>
        <v>1.3766782281967841E-2</v>
      </c>
      <c r="BK14">
        <f t="shared" si="5"/>
        <v>4.8899080439289387E-3</v>
      </c>
      <c r="BL14">
        <f t="shared" si="6"/>
        <v>5.2789904616779438E-4</v>
      </c>
      <c r="BM14">
        <f>M14/M$92</f>
        <v>4.3635194824846579E-3</v>
      </c>
      <c r="BN14">
        <f t="shared" si="7"/>
        <v>2.8901821633894858E-3</v>
      </c>
      <c r="BO14">
        <f t="shared" si="8"/>
        <v>0.14876545099944252</v>
      </c>
      <c r="BP14">
        <f t="shared" si="9"/>
        <v>5.8160616192115364E-2</v>
      </c>
      <c r="BQ14">
        <f t="shared" si="10"/>
        <v>4.3158035879489187E-2</v>
      </c>
      <c r="BR14">
        <f t="shared" si="11"/>
        <v>1.9348304048611861E-2</v>
      </c>
      <c r="BS14">
        <f t="shared" si="12"/>
        <v>4.2494897257626271E-2</v>
      </c>
      <c r="BT14">
        <f t="shared" si="13"/>
        <v>5.7413427833786241E-3</v>
      </c>
      <c r="BU14">
        <f t="shared" si="14"/>
        <v>2.0283441697097657E-2</v>
      </c>
      <c r="BV14">
        <f t="shared" si="15"/>
        <v>8.3874204395783334E-3</v>
      </c>
      <c r="BW14">
        <f t="shared" si="16"/>
        <v>1.7047340338138824E-2</v>
      </c>
      <c r="BX14">
        <f t="shared" si="17"/>
        <v>1.0308165588500365E-3</v>
      </c>
      <c r="BY14">
        <f t="shared" si="18"/>
        <v>1.0486550779305963E-3</v>
      </c>
      <c r="BZ14">
        <f t="shared" si="19"/>
        <v>5.1820078705785916E-3</v>
      </c>
      <c r="CA14">
        <f t="shared" si="20"/>
        <v>5.3918072275910056E-2</v>
      </c>
      <c r="CB14">
        <f t="shared" si="21"/>
        <v>6.1209017880555763E-5</v>
      </c>
      <c r="CC14">
        <f t="shared" si="22"/>
        <v>5.1213428109553175E-4</v>
      </c>
      <c r="CD14">
        <f t="shared" si="23"/>
        <v>2.2328898647348537E-3</v>
      </c>
      <c r="CE14">
        <f t="shared" si="24"/>
        <v>1.0612711090191298E-3</v>
      </c>
      <c r="CF14">
        <f t="shared" si="25"/>
        <v>2.3789520282691736E-2</v>
      </c>
      <c r="CG14">
        <f t="shared" si="26"/>
        <v>1.1211374556671385E-3</v>
      </c>
      <c r="CH14">
        <f t="shared" si="27"/>
        <v>1.3864879736771453E-3</v>
      </c>
      <c r="CI14">
        <f t="shared" si="28"/>
        <v>5.3156421644379411E-6</v>
      </c>
      <c r="CJ14">
        <f t="shared" si="29"/>
        <v>2.1664280277653649E-3</v>
      </c>
      <c r="CK14">
        <f t="shared" si="30"/>
        <v>3.9553448691841148E-3</v>
      </c>
      <c r="CL14">
        <f t="shared" si="31"/>
        <v>7.5919657956143513E-3</v>
      </c>
      <c r="CM14">
        <f t="shared" si="32"/>
        <v>3.8948854620155508E-2</v>
      </c>
      <c r="CN14">
        <f t="shared" si="33"/>
        <v>9.0805479053399241E-3</v>
      </c>
      <c r="CO14">
        <f t="shared" si="34"/>
        <v>1.5789653437127998E-2</v>
      </c>
      <c r="CP14">
        <f t="shared" si="35"/>
        <v>2.3855754735321805E-3</v>
      </c>
      <c r="CQ14">
        <f t="shared" si="36"/>
        <v>2.2465316553005022E-3</v>
      </c>
      <c r="CR14">
        <f t="shared" si="37"/>
        <v>2.1154473167176277E-3</v>
      </c>
      <c r="CS14" s="25">
        <f>AS14/AS$92</f>
        <v>1.1147878030169851E-3</v>
      </c>
    </row>
    <row r="15" spans="1:97" x14ac:dyDescent="0.25">
      <c r="A15" s="14"/>
      <c r="B15" s="11"/>
      <c r="C15" t="s">
        <v>12</v>
      </c>
      <c r="D15">
        <v>7.2035329299999997</v>
      </c>
      <c r="E15">
        <v>115.2094671</v>
      </c>
      <c r="F15">
        <v>11.93578857</v>
      </c>
      <c r="G15">
        <v>12.826997889999999</v>
      </c>
      <c r="H15">
        <v>6.7415535599999998</v>
      </c>
      <c r="I15">
        <v>3.3671125200000001</v>
      </c>
      <c r="J15">
        <v>16.067225029999999</v>
      </c>
      <c r="K15">
        <v>16.512641169999998</v>
      </c>
      <c r="L15">
        <v>5.5734381099999997</v>
      </c>
      <c r="M15">
        <v>63.85857335</v>
      </c>
      <c r="N15">
        <v>98.386424500000004</v>
      </c>
      <c r="O15">
        <v>151.55905175000001</v>
      </c>
      <c r="P15">
        <v>1305.9319508799999</v>
      </c>
      <c r="Q15">
        <v>468.08619657999998</v>
      </c>
      <c r="R15">
        <v>479.90259928</v>
      </c>
      <c r="S15">
        <v>355.31683844000003</v>
      </c>
      <c r="T15">
        <v>107.09277521</v>
      </c>
      <c r="U15">
        <v>31.233105909999999</v>
      </c>
      <c r="V15">
        <v>10.706474910000001</v>
      </c>
      <c r="W15">
        <v>17.229496409999999</v>
      </c>
      <c r="X15">
        <v>22.466196149999998</v>
      </c>
      <c r="Y15">
        <v>0.28369755000000002</v>
      </c>
      <c r="Z15">
        <v>3.0616614499999999</v>
      </c>
      <c r="AA15">
        <v>390.91283748000001</v>
      </c>
      <c r="AB15">
        <v>2.84565644</v>
      </c>
      <c r="AC15">
        <v>53.45440859</v>
      </c>
      <c r="AD15">
        <v>9.5052709899999996</v>
      </c>
      <c r="AE15">
        <v>6.85881162</v>
      </c>
      <c r="AF15">
        <v>32.206555680000001</v>
      </c>
      <c r="AG15">
        <v>0.92925199000000003</v>
      </c>
      <c r="AH15">
        <v>26.631624009999999</v>
      </c>
      <c r="AI15">
        <v>1.34150082</v>
      </c>
      <c r="AJ15">
        <v>0.69786108000000002</v>
      </c>
      <c r="AK15">
        <v>30.38579859</v>
      </c>
      <c r="AL15">
        <v>6.3125522099999998</v>
      </c>
      <c r="AM15">
        <v>0.64640344999999999</v>
      </c>
      <c r="AN15">
        <v>1.5729337299999999</v>
      </c>
      <c r="AO15">
        <v>13.848486080000001</v>
      </c>
      <c r="AP15">
        <v>4.5990085699999996</v>
      </c>
      <c r="AQ15">
        <v>0.17407095</v>
      </c>
      <c r="AR15">
        <v>1.8452127700000001</v>
      </c>
      <c r="AS15">
        <v>20.908372029999999</v>
      </c>
      <c r="AT15" s="4">
        <v>1544.7475667900001</v>
      </c>
      <c r="AU15" s="1">
        <v>34.142275660000003</v>
      </c>
      <c r="AV15" s="1">
        <v>2893.39868789</v>
      </c>
      <c r="AW15" s="1">
        <v>2.0660082000000002</v>
      </c>
      <c r="AX15" s="1">
        <v>1312.4428372499999</v>
      </c>
      <c r="AY15" s="4">
        <v>6809.6281042099999</v>
      </c>
      <c r="AZ15">
        <f t="shared" si="38"/>
        <v>6809.6281042200008</v>
      </c>
      <c r="BB15" s="18"/>
      <c r="BC15" s="4" t="s">
        <v>12</v>
      </c>
      <c r="BD15">
        <f t="shared" si="39"/>
        <v>5.9879936350252317E-3</v>
      </c>
      <c r="BE15">
        <f>E15/E$92</f>
        <v>1.5688467909495019E-2</v>
      </c>
      <c r="BF15">
        <f t="shared" si="0"/>
        <v>1.4068125769602249E-2</v>
      </c>
      <c r="BG15">
        <f t="shared" si="1"/>
        <v>1.1181960151898092E-3</v>
      </c>
      <c r="BH15">
        <f t="shared" si="2"/>
        <v>2.2010591409736156E-3</v>
      </c>
      <c r="BI15">
        <f t="shared" si="3"/>
        <v>1.0032196576542113E-3</v>
      </c>
      <c r="BJ15">
        <f t="shared" si="4"/>
        <v>5.5124936985685904E-3</v>
      </c>
      <c r="BK15">
        <f t="shared" si="5"/>
        <v>3.6388212118639526E-3</v>
      </c>
      <c r="BL15">
        <f t="shared" si="6"/>
        <v>9.8755779607258092E-4</v>
      </c>
      <c r="BM15">
        <f>M15/M$92</f>
        <v>3.5672724695633689E-3</v>
      </c>
      <c r="BN15">
        <f t="shared" si="7"/>
        <v>6.4669705743439854E-3</v>
      </c>
      <c r="BO15">
        <f t="shared" si="8"/>
        <v>2.2742529458098008E-2</v>
      </c>
      <c r="BP15">
        <f t="shared" si="9"/>
        <v>0.19177727930143754</v>
      </c>
      <c r="BQ15">
        <f t="shared" si="10"/>
        <v>9.2425485371269531E-2</v>
      </c>
      <c r="BR15">
        <f t="shared" si="11"/>
        <v>3.8960469978468193E-2</v>
      </c>
      <c r="BS15">
        <f t="shared" si="12"/>
        <v>3.1232813106916488E-2</v>
      </c>
      <c r="BT15">
        <f t="shared" si="13"/>
        <v>7.0038848651192784E-3</v>
      </c>
      <c r="BU15">
        <f t="shared" si="14"/>
        <v>2.3343365527534042E-2</v>
      </c>
      <c r="BV15">
        <f t="shared" si="15"/>
        <v>5.9894589630445421E-3</v>
      </c>
      <c r="BW15">
        <f t="shared" si="16"/>
        <v>3.4864371030514249E-2</v>
      </c>
      <c r="BX15">
        <f t="shared" si="17"/>
        <v>2.2426779495784851E-3</v>
      </c>
      <c r="BY15">
        <f t="shared" si="18"/>
        <v>1.3420391967217118E-4</v>
      </c>
      <c r="BZ15">
        <f t="shared" si="19"/>
        <v>5.148563128676821E-3</v>
      </c>
      <c r="CA15">
        <f t="shared" si="20"/>
        <v>1.2662728639493878E-2</v>
      </c>
      <c r="CB15">
        <f t="shared" si="21"/>
        <v>1.5441677692775951E-4</v>
      </c>
      <c r="CC15">
        <f t="shared" si="22"/>
        <v>3.3652546361485468E-3</v>
      </c>
      <c r="CD15">
        <f t="shared" si="23"/>
        <v>1.464390163386091E-3</v>
      </c>
      <c r="CE15">
        <f t="shared" si="24"/>
        <v>4.2926318991617392E-4</v>
      </c>
      <c r="CF15">
        <f t="shared" si="25"/>
        <v>8.6913272502464646E-3</v>
      </c>
      <c r="CG15">
        <f t="shared" si="26"/>
        <v>5.643701787433384E-4</v>
      </c>
      <c r="CH15">
        <f t="shared" si="27"/>
        <v>1.5889088513743987E-3</v>
      </c>
      <c r="CI15">
        <f t="shared" si="28"/>
        <v>1.0552398375381363E-4</v>
      </c>
      <c r="CJ15">
        <f t="shared" si="29"/>
        <v>5.657166451497302E-5</v>
      </c>
      <c r="CK15">
        <f t="shared" si="30"/>
        <v>2.0631548562569635E-3</v>
      </c>
      <c r="CL15">
        <f t="shared" si="31"/>
        <v>2.0647532486897644E-3</v>
      </c>
      <c r="CM15">
        <f t="shared" si="32"/>
        <v>9.5137549098926586E-5</v>
      </c>
      <c r="CN15">
        <f t="shared" si="33"/>
        <v>1.0453694500985227E-3</v>
      </c>
      <c r="CO15">
        <f t="shared" si="34"/>
        <v>2.8118158769151161E-3</v>
      </c>
      <c r="CP15">
        <f t="shared" si="35"/>
        <v>7.2453008221665029E-4</v>
      </c>
      <c r="CQ15">
        <f t="shared" si="36"/>
        <v>2.7642070274174979E-5</v>
      </c>
      <c r="CR15">
        <f t="shared" si="37"/>
        <v>8.0073539091505132E-4</v>
      </c>
      <c r="CS15" s="25">
        <f>AS15/AS$92</f>
        <v>2.0891808924934168E-3</v>
      </c>
    </row>
    <row r="16" spans="1:97" x14ac:dyDescent="0.25">
      <c r="A16" s="14"/>
      <c r="B16" s="11"/>
      <c r="C16" t="s">
        <v>13</v>
      </c>
      <c r="D16">
        <v>15.83267264</v>
      </c>
      <c r="E16">
        <v>26.886107729999999</v>
      </c>
      <c r="F16">
        <v>39.303716770000001</v>
      </c>
      <c r="G16">
        <v>12.19951318</v>
      </c>
      <c r="H16">
        <v>16.361131660000002</v>
      </c>
      <c r="I16">
        <v>21.491781880000001</v>
      </c>
      <c r="J16">
        <v>17.694121389999999</v>
      </c>
      <c r="K16">
        <v>47.851755740000002</v>
      </c>
      <c r="L16">
        <v>1.81171174</v>
      </c>
      <c r="M16">
        <v>40.721373479999997</v>
      </c>
      <c r="N16">
        <v>59.126297809999997</v>
      </c>
      <c r="O16">
        <v>56.798207570000002</v>
      </c>
      <c r="P16">
        <v>64.416007329999999</v>
      </c>
      <c r="Q16">
        <v>521.69702197000004</v>
      </c>
      <c r="R16">
        <v>67.151761769999993</v>
      </c>
      <c r="S16">
        <v>104.96501628</v>
      </c>
      <c r="T16">
        <v>279.83120658000001</v>
      </c>
      <c r="U16">
        <v>19.761687160000001</v>
      </c>
      <c r="V16">
        <v>5.5985559</v>
      </c>
      <c r="W16">
        <v>7.37010933</v>
      </c>
      <c r="X16">
        <v>3.00688354</v>
      </c>
      <c r="Y16">
        <v>1.0501480000000001E-2</v>
      </c>
      <c r="Z16">
        <v>3.3238002299999998</v>
      </c>
      <c r="AA16">
        <v>256.30485302</v>
      </c>
      <c r="AB16">
        <v>0.49666434999999998</v>
      </c>
      <c r="AC16">
        <v>6.6529157699999999</v>
      </c>
      <c r="AD16">
        <v>1.78433843</v>
      </c>
      <c r="AE16">
        <v>56.317617380000002</v>
      </c>
      <c r="AF16">
        <v>59.311069240000002</v>
      </c>
      <c r="AG16">
        <v>14.935797239999999</v>
      </c>
      <c r="AH16">
        <v>4.5474489999999999E-2</v>
      </c>
      <c r="AI16">
        <v>4.5642886300000001</v>
      </c>
      <c r="AJ16">
        <v>1.14949163</v>
      </c>
      <c r="AK16">
        <v>13.16057241</v>
      </c>
      <c r="AL16">
        <v>1.0461786900000001</v>
      </c>
      <c r="AM16">
        <v>33.67758104</v>
      </c>
      <c r="AN16">
        <v>5.0748802800000004</v>
      </c>
      <c r="AO16">
        <v>6.1283164799999996</v>
      </c>
      <c r="AP16">
        <v>0.18865012</v>
      </c>
      <c r="AQ16">
        <v>191.00171216000001</v>
      </c>
      <c r="AR16">
        <v>0.10759987</v>
      </c>
      <c r="AS16">
        <v>0.39765887</v>
      </c>
      <c r="AT16" s="4">
        <v>2026.43344075</v>
      </c>
      <c r="AU16" s="1">
        <v>32.203647529999998</v>
      </c>
      <c r="AV16" s="1">
        <v>2978.9144644399998</v>
      </c>
      <c r="AW16" s="1">
        <v>139.40967806</v>
      </c>
      <c r="AX16" s="1">
        <v>780.86769808999998</v>
      </c>
      <c r="AY16" s="4">
        <v>5064.4710677200001</v>
      </c>
      <c r="AZ16">
        <f t="shared" si="38"/>
        <v>5064.4710677000003</v>
      </c>
      <c r="BB16" s="18"/>
      <c r="BC16" s="4" t="s">
        <v>13</v>
      </c>
      <c r="BD16">
        <f t="shared" si="39"/>
        <v>1.3161034164073451E-2</v>
      </c>
      <c r="BE16">
        <f>E16/E$92</f>
        <v>3.6611734170006499E-3</v>
      </c>
      <c r="BF16">
        <f t="shared" si="0"/>
        <v>4.632535399654663E-2</v>
      </c>
      <c r="BG16">
        <f t="shared" si="1"/>
        <v>1.0634949145634854E-3</v>
      </c>
      <c r="BH16">
        <f t="shared" si="2"/>
        <v>5.3417684924416484E-3</v>
      </c>
      <c r="BI16">
        <f t="shared" si="3"/>
        <v>6.403402895497113E-3</v>
      </c>
      <c r="BJ16">
        <f t="shared" si="4"/>
        <v>6.0706645037934531E-3</v>
      </c>
      <c r="BK16">
        <f t="shared" si="5"/>
        <v>1.0544889943347849E-2</v>
      </c>
      <c r="BL16">
        <f t="shared" si="6"/>
        <v>3.2101729987151872E-4</v>
      </c>
      <c r="BM16">
        <f>M16/M$92</f>
        <v>2.2747804549569047E-3</v>
      </c>
      <c r="BN16">
        <f t="shared" si="7"/>
        <v>3.8863901198805044E-3</v>
      </c>
      <c r="BO16">
        <f t="shared" si="8"/>
        <v>8.5229809365568975E-3</v>
      </c>
      <c r="BP16">
        <f t="shared" si="9"/>
        <v>9.4595485016538989E-3</v>
      </c>
      <c r="BQ16">
        <f t="shared" si="10"/>
        <v>0.10301115654471607</v>
      </c>
      <c r="BR16">
        <f t="shared" si="11"/>
        <v>5.4516566535928864E-3</v>
      </c>
      <c r="BS16">
        <f t="shared" si="12"/>
        <v>9.226561709349667E-3</v>
      </c>
      <c r="BT16">
        <f t="shared" si="13"/>
        <v>1.8301006288337539E-2</v>
      </c>
      <c r="BU16">
        <f t="shared" si="14"/>
        <v>1.4769721850459928E-2</v>
      </c>
      <c r="BV16">
        <f t="shared" si="15"/>
        <v>3.1319665059917376E-3</v>
      </c>
      <c r="BW16">
        <f t="shared" si="16"/>
        <v>1.4913623712614057E-2</v>
      </c>
      <c r="BX16">
        <f t="shared" si="17"/>
        <v>3.0016080012318852E-4</v>
      </c>
      <c r="BY16">
        <f t="shared" si="18"/>
        <v>4.9677544919189904E-6</v>
      </c>
      <c r="BZ16">
        <f t="shared" si="19"/>
        <v>5.5893819714343453E-3</v>
      </c>
      <c r="CA16">
        <f t="shared" si="20"/>
        <v>8.3024103882075005E-3</v>
      </c>
      <c r="CB16">
        <f t="shared" si="21"/>
        <v>2.6951007529890245E-5</v>
      </c>
      <c r="CC16">
        <f t="shared" si="22"/>
        <v>4.1883833774351517E-4</v>
      </c>
      <c r="CD16">
        <f t="shared" si="23"/>
        <v>2.7489670181868022E-4</v>
      </c>
      <c r="CE16">
        <f t="shared" si="24"/>
        <v>3.5246747431470289E-3</v>
      </c>
      <c r="CF16">
        <f t="shared" si="25"/>
        <v>1.6005806937218779E-2</v>
      </c>
      <c r="CG16">
        <f t="shared" si="26"/>
        <v>9.0710793721443198E-3</v>
      </c>
      <c r="CH16">
        <f t="shared" si="27"/>
        <v>2.7131210490807984E-6</v>
      </c>
      <c r="CI16">
        <f t="shared" si="28"/>
        <v>3.5903214672640768E-4</v>
      </c>
      <c r="CJ16">
        <f t="shared" si="29"/>
        <v>9.3182807751837209E-5</v>
      </c>
      <c r="CK16">
        <f t="shared" si="30"/>
        <v>8.9358516605677642E-4</v>
      </c>
      <c r="CL16">
        <f t="shared" si="31"/>
        <v>3.4219136365566823E-4</v>
      </c>
      <c r="CM16">
        <f t="shared" si="32"/>
        <v>4.9566606114588019E-3</v>
      </c>
      <c r="CN16">
        <f t="shared" si="33"/>
        <v>3.3727579912851365E-3</v>
      </c>
      <c r="CO16">
        <f t="shared" si="34"/>
        <v>1.2443019025820154E-3</v>
      </c>
      <c r="CP16">
        <f t="shared" si="35"/>
        <v>2.9720033105696292E-5</v>
      </c>
      <c r="CQ16">
        <f t="shared" si="36"/>
        <v>3.0330636731829532E-2</v>
      </c>
      <c r="CR16">
        <f t="shared" si="37"/>
        <v>4.6693273191935858E-5</v>
      </c>
      <c r="CS16" s="25">
        <f>AS16/AS$92</f>
        <v>3.9734385429075587E-5</v>
      </c>
    </row>
    <row r="17" spans="1:97" x14ac:dyDescent="0.25">
      <c r="A17" s="14"/>
      <c r="B17" s="11"/>
      <c r="C17" t="s">
        <v>14</v>
      </c>
      <c r="D17">
        <v>1.0592229399999999</v>
      </c>
      <c r="E17">
        <v>18.112839340000001</v>
      </c>
      <c r="F17">
        <v>2.6199779300000001</v>
      </c>
      <c r="G17">
        <v>5.13006399</v>
      </c>
      <c r="H17">
        <v>1.8871867499999999</v>
      </c>
      <c r="I17">
        <v>1.4344272199999999</v>
      </c>
      <c r="J17">
        <v>2.16340931</v>
      </c>
      <c r="K17">
        <v>3.5691348000000001</v>
      </c>
      <c r="L17">
        <v>2.19824595</v>
      </c>
      <c r="M17">
        <v>7.99476795</v>
      </c>
      <c r="N17">
        <v>8.1238896199999999</v>
      </c>
      <c r="O17">
        <v>6.6357294900000001</v>
      </c>
      <c r="P17">
        <v>43.588895399999998</v>
      </c>
      <c r="Q17">
        <v>75.474740400000002</v>
      </c>
      <c r="R17">
        <v>3715.3782584099999</v>
      </c>
      <c r="S17">
        <v>10.93945686</v>
      </c>
      <c r="T17">
        <v>11.95951745</v>
      </c>
      <c r="U17">
        <v>1.01664664</v>
      </c>
      <c r="V17">
        <v>0.79546916999999995</v>
      </c>
      <c r="W17">
        <v>61.58305051</v>
      </c>
      <c r="X17">
        <v>3.82470533</v>
      </c>
      <c r="Y17">
        <v>0.89212933999999999</v>
      </c>
      <c r="Z17">
        <v>0.25192790999999998</v>
      </c>
      <c r="AA17">
        <v>33.467424710000003</v>
      </c>
      <c r="AB17">
        <v>7.7329435699999998</v>
      </c>
      <c r="AC17">
        <v>1298.32805523</v>
      </c>
      <c r="AD17">
        <v>2.98771349</v>
      </c>
      <c r="AE17">
        <v>23.574876549999999</v>
      </c>
      <c r="AF17">
        <v>1.7217974899999999</v>
      </c>
      <c r="AG17">
        <v>0.62013841999999997</v>
      </c>
      <c r="AH17">
        <v>7.2134250499999997</v>
      </c>
      <c r="AI17">
        <v>5.8795822900000001</v>
      </c>
      <c r="AJ17">
        <v>4.5296303800000004</v>
      </c>
      <c r="AK17">
        <v>380.97180501000003</v>
      </c>
      <c r="AL17">
        <v>8.6780685500000008</v>
      </c>
      <c r="AM17">
        <v>57.19041988</v>
      </c>
      <c r="AN17">
        <v>7.0003961600000002</v>
      </c>
      <c r="AO17">
        <v>101.29757180999999</v>
      </c>
      <c r="AP17">
        <v>2.6608168999999999</v>
      </c>
      <c r="AQ17">
        <v>5.89784416</v>
      </c>
      <c r="AR17">
        <v>1.0998361800000001</v>
      </c>
      <c r="AS17">
        <v>11.2923589</v>
      </c>
      <c r="AT17" s="4">
        <v>2726.8177629800002</v>
      </c>
      <c r="AU17" s="1">
        <v>15.48232221</v>
      </c>
      <c r="AV17" s="1">
        <v>6368.9015367299999</v>
      </c>
      <c r="AW17" s="1">
        <v>2193.9167738800002</v>
      </c>
      <c r="AX17" s="1">
        <v>1432.68467766</v>
      </c>
      <c r="AY17" s="4">
        <v>12317.67993418</v>
      </c>
      <c r="AZ17">
        <f t="shared" si="38"/>
        <v>12317.679934170001</v>
      </c>
      <c r="BB17" s="18"/>
      <c r="BC17" s="4" t="s">
        <v>14</v>
      </c>
      <c r="BD17">
        <f t="shared" si="39"/>
        <v>8.8048743365607308E-4</v>
      </c>
      <c r="BE17">
        <f>E17/E$92</f>
        <v>2.4664873980258951E-3</v>
      </c>
      <c r="BF17">
        <f t="shared" si="0"/>
        <v>3.0880388687064483E-3</v>
      </c>
      <c r="BG17">
        <f t="shared" si="1"/>
        <v>4.4721431783807154E-4</v>
      </c>
      <c r="BH17">
        <f t="shared" si="2"/>
        <v>6.1615021075524755E-4</v>
      </c>
      <c r="BI17">
        <f t="shared" si="3"/>
        <v>4.2738268353986633E-4</v>
      </c>
      <c r="BJ17">
        <f t="shared" si="4"/>
        <v>7.4224268139223425E-4</v>
      </c>
      <c r="BK17">
        <f t="shared" si="5"/>
        <v>7.8651520883511131E-4</v>
      </c>
      <c r="BL17">
        <f t="shared" si="6"/>
        <v>3.8950731716431975E-4</v>
      </c>
      <c r="BM17">
        <f>M17/M$92</f>
        <v>4.4660433380293437E-4</v>
      </c>
      <c r="BN17">
        <f t="shared" si="7"/>
        <v>5.3398581551013214E-4</v>
      </c>
      <c r="BO17">
        <f t="shared" si="8"/>
        <v>9.9573909746564953E-4</v>
      </c>
      <c r="BP17">
        <f t="shared" si="9"/>
        <v>6.4010684185604053E-3</v>
      </c>
      <c r="BQ17">
        <f t="shared" si="10"/>
        <v>1.4902788344770903E-2</v>
      </c>
      <c r="BR17">
        <f t="shared" si="11"/>
        <v>0.3016297125971179</v>
      </c>
      <c r="BS17">
        <f t="shared" si="12"/>
        <v>9.6159251303608285E-4</v>
      </c>
      <c r="BT17">
        <f t="shared" si="13"/>
        <v>7.8215438061001309E-4</v>
      </c>
      <c r="BU17">
        <f t="shared" si="14"/>
        <v>7.5983330630787437E-4</v>
      </c>
      <c r="BV17">
        <f t="shared" si="15"/>
        <v>4.4500454072255444E-4</v>
      </c>
      <c r="BW17">
        <f t="shared" si="16"/>
        <v>0.1246150363933672</v>
      </c>
      <c r="BX17">
        <f t="shared" si="17"/>
        <v>3.8179949333462504E-4</v>
      </c>
      <c r="BY17">
        <f t="shared" si="18"/>
        <v>4.220242800212659E-4</v>
      </c>
      <c r="BZ17">
        <f t="shared" si="19"/>
        <v>4.2364799952346544E-4</v>
      </c>
      <c r="CA17">
        <f t="shared" si="20"/>
        <v>1.0841007936637642E-3</v>
      </c>
      <c r="CB17">
        <f t="shared" si="21"/>
        <v>4.196206560492742E-4</v>
      </c>
      <c r="CC17">
        <f t="shared" si="22"/>
        <v>8.1737028289222427E-2</v>
      </c>
      <c r="CD17">
        <f t="shared" si="23"/>
        <v>4.6028969088570179E-4</v>
      </c>
      <c r="CE17">
        <f t="shared" si="24"/>
        <v>1.4754489947243958E-3</v>
      </c>
      <c r="CF17">
        <f t="shared" si="25"/>
        <v>4.6464780627056995E-4</v>
      </c>
      <c r="CG17">
        <f t="shared" si="26"/>
        <v>3.7663371691139605E-4</v>
      </c>
      <c r="CH17">
        <f t="shared" si="27"/>
        <v>4.3037085933501863E-4</v>
      </c>
      <c r="CI17">
        <f t="shared" si="28"/>
        <v>4.6249464539959827E-4</v>
      </c>
      <c r="CJ17">
        <f t="shared" si="29"/>
        <v>3.6719160528939337E-4</v>
      </c>
      <c r="CK17">
        <f t="shared" si="30"/>
        <v>2.586747316432346E-2</v>
      </c>
      <c r="CL17">
        <f t="shared" si="31"/>
        <v>2.8384826984211155E-3</v>
      </c>
      <c r="CM17">
        <f t="shared" si="32"/>
        <v>8.4172762062481674E-3</v>
      </c>
      <c r="CN17">
        <f t="shared" si="33"/>
        <v>4.6524530211778286E-3</v>
      </c>
      <c r="CO17">
        <f t="shared" si="34"/>
        <v>2.0567599885135391E-2</v>
      </c>
      <c r="CP17">
        <f t="shared" si="35"/>
        <v>4.191864089786753E-4</v>
      </c>
      <c r="CQ17">
        <f t="shared" si="36"/>
        <v>9.3656421555034024E-4</v>
      </c>
      <c r="CR17">
        <f t="shared" si="37"/>
        <v>4.7727707495478518E-4</v>
      </c>
      <c r="CS17" s="25">
        <f>AS17/AS$92</f>
        <v>1.1283413367242433E-3</v>
      </c>
    </row>
    <row r="18" spans="1:97" x14ac:dyDescent="0.25">
      <c r="A18" s="14"/>
      <c r="B18" s="11"/>
      <c r="C18" t="s">
        <v>15</v>
      </c>
      <c r="D18">
        <v>2.9848175000000001</v>
      </c>
      <c r="E18">
        <v>55.088279380000003</v>
      </c>
      <c r="F18">
        <v>10.43410119</v>
      </c>
      <c r="G18">
        <v>6.0885453800000002</v>
      </c>
      <c r="H18">
        <v>3.0591197999999999</v>
      </c>
      <c r="I18">
        <v>2.46109936</v>
      </c>
      <c r="J18">
        <v>5.2539769999999999</v>
      </c>
      <c r="K18">
        <v>12.345236209999999</v>
      </c>
      <c r="L18">
        <v>0.74004601999999997</v>
      </c>
      <c r="M18">
        <v>26.513205620000001</v>
      </c>
      <c r="N18">
        <v>26.45075434</v>
      </c>
      <c r="O18">
        <v>34.274119030000001</v>
      </c>
      <c r="P18">
        <v>328.31308725000002</v>
      </c>
      <c r="Q18">
        <v>234.04989741</v>
      </c>
      <c r="R18">
        <v>581.90334441000005</v>
      </c>
      <c r="S18">
        <v>1774.3748043400001</v>
      </c>
      <c r="T18">
        <v>520.36116050999999</v>
      </c>
      <c r="U18">
        <v>42.288806409999999</v>
      </c>
      <c r="V18">
        <v>4.6416340500000004</v>
      </c>
      <c r="W18">
        <v>37.988056159999999</v>
      </c>
      <c r="X18">
        <v>311.28546362999998</v>
      </c>
      <c r="Y18">
        <v>0.51453307000000004</v>
      </c>
      <c r="Z18">
        <v>0.34758314000000001</v>
      </c>
      <c r="AA18">
        <v>1583.817755</v>
      </c>
      <c r="AB18">
        <v>163.89898216</v>
      </c>
      <c r="AC18">
        <v>137.50717935</v>
      </c>
      <c r="AD18">
        <v>2.7434134700000001</v>
      </c>
      <c r="AE18">
        <v>7.4290843100000004</v>
      </c>
      <c r="AF18">
        <v>8.2620516100000003</v>
      </c>
      <c r="AG18">
        <v>1.07026154</v>
      </c>
      <c r="AH18">
        <v>216.06094593</v>
      </c>
      <c r="AI18">
        <v>1.07545037</v>
      </c>
      <c r="AJ18">
        <v>135.50066806999999</v>
      </c>
      <c r="AK18">
        <v>97.670130529999994</v>
      </c>
      <c r="AL18">
        <v>31.362843770000001</v>
      </c>
      <c r="AM18">
        <v>209.97350653000001</v>
      </c>
      <c r="AN18">
        <v>12.5402319</v>
      </c>
      <c r="AO18">
        <v>90.653278520000001</v>
      </c>
      <c r="AP18">
        <v>0.43677492000000001</v>
      </c>
      <c r="AQ18">
        <v>3.93290958</v>
      </c>
      <c r="AR18">
        <v>1.1692020599999999</v>
      </c>
      <c r="AS18">
        <v>28.229268009999998</v>
      </c>
      <c r="AT18" s="4">
        <v>1384.1325615400001</v>
      </c>
      <c r="AU18" s="1">
        <v>133.77915174</v>
      </c>
      <c r="AV18" s="1">
        <v>4621.3000179199998</v>
      </c>
      <c r="AW18" s="1">
        <v>609.74801729000001</v>
      </c>
      <c r="AX18" s="1">
        <v>2493.6402873500001</v>
      </c>
      <c r="AY18" s="4">
        <v>11376.395626740001</v>
      </c>
      <c r="AZ18">
        <f t="shared" si="38"/>
        <v>11376.395626760001</v>
      </c>
      <c r="BB18" s="18"/>
      <c r="BC18" s="4" t="s">
        <v>15</v>
      </c>
      <c r="BD18">
        <f t="shared" si="39"/>
        <v>2.4811531182535908E-3</v>
      </c>
      <c r="BE18">
        <f>E18/E$92</f>
        <v>7.5015597675863752E-3</v>
      </c>
      <c r="BF18">
        <f t="shared" si="0"/>
        <v>1.2298160860742901E-2</v>
      </c>
      <c r="BG18">
        <f t="shared" si="1"/>
        <v>5.3077011788752414E-4</v>
      </c>
      <c r="BH18">
        <f t="shared" si="2"/>
        <v>9.9877625226838353E-4</v>
      </c>
      <c r="BI18">
        <f t="shared" si="3"/>
        <v>7.3327613577707181E-4</v>
      </c>
      <c r="BJ18">
        <f t="shared" si="4"/>
        <v>1.8025835233431286E-3</v>
      </c>
      <c r="BK18">
        <f t="shared" si="5"/>
        <v>2.7204677267518526E-3</v>
      </c>
      <c r="BL18">
        <f t="shared" si="6"/>
        <v>1.3112879376774584E-4</v>
      </c>
      <c r="BM18">
        <f>M18/M$92</f>
        <v>1.4810827039576948E-3</v>
      </c>
      <c r="BN18">
        <f t="shared" si="7"/>
        <v>1.7386163879345108E-3</v>
      </c>
      <c r="BO18">
        <f t="shared" si="8"/>
        <v>5.1430789035016014E-3</v>
      </c>
      <c r="BP18">
        <f t="shared" si="9"/>
        <v>4.821307158419165E-2</v>
      </c>
      <c r="BQ18">
        <f t="shared" si="10"/>
        <v>4.6214085198981E-2</v>
      </c>
      <c r="BR18">
        <f t="shared" si="11"/>
        <v>4.7241310662350627E-2</v>
      </c>
      <c r="BS18">
        <f t="shared" si="12"/>
        <v>0.15596985746266825</v>
      </c>
      <c r="BT18">
        <f t="shared" si="13"/>
        <v>3.4031704280192893E-2</v>
      </c>
      <c r="BU18">
        <f t="shared" si="14"/>
        <v>3.1606304816316447E-2</v>
      </c>
      <c r="BV18">
        <f t="shared" si="15"/>
        <v>2.596641462072528E-3</v>
      </c>
      <c r="BW18">
        <f t="shared" si="16"/>
        <v>7.6869901079729366E-2</v>
      </c>
      <c r="BX18">
        <f t="shared" si="17"/>
        <v>3.1073931725968507E-2</v>
      </c>
      <c r="BY18">
        <f t="shared" si="18"/>
        <v>2.4340130817116903E-4</v>
      </c>
      <c r="BZ18">
        <f t="shared" si="19"/>
        <v>5.8450412234628795E-4</v>
      </c>
      <c r="CA18">
        <f t="shared" si="20"/>
        <v>5.1304159196366834E-2</v>
      </c>
      <c r="CB18">
        <f t="shared" si="21"/>
        <v>8.893818737615267E-3</v>
      </c>
      <c r="CC18">
        <f t="shared" si="22"/>
        <v>8.6568476766922028E-3</v>
      </c>
      <c r="CD18">
        <f t="shared" si="23"/>
        <v>4.2265262124514173E-4</v>
      </c>
      <c r="CE18">
        <f t="shared" si="24"/>
        <v>4.6495407743343126E-4</v>
      </c>
      <c r="CF18">
        <f t="shared" si="25"/>
        <v>2.2296142131562353E-3</v>
      </c>
      <c r="CG18">
        <f t="shared" si="26"/>
        <v>6.5001065710057894E-4</v>
      </c>
      <c r="CH18">
        <f t="shared" si="27"/>
        <v>1.2890732810571185E-2</v>
      </c>
      <c r="CI18">
        <f t="shared" si="28"/>
        <v>8.4596152070867049E-5</v>
      </c>
      <c r="CJ18">
        <f t="shared" si="29"/>
        <v>1.0984275460111281E-2</v>
      </c>
      <c r="CK18">
        <f t="shared" si="30"/>
        <v>6.6316704995384827E-3</v>
      </c>
      <c r="CL18">
        <f t="shared" si="31"/>
        <v>1.0258375916427793E-2</v>
      </c>
      <c r="CM18">
        <f t="shared" si="32"/>
        <v>3.090386474108648E-2</v>
      </c>
      <c r="CN18">
        <f t="shared" si="33"/>
        <v>8.3342197292768042E-3</v>
      </c>
      <c r="CO18">
        <f t="shared" si="34"/>
        <v>1.840636776933122E-2</v>
      </c>
      <c r="CP18">
        <f t="shared" si="35"/>
        <v>6.880973668152371E-5</v>
      </c>
      <c r="CQ18">
        <f t="shared" si="36"/>
        <v>6.2453708095656403E-4</v>
      </c>
      <c r="CR18">
        <f t="shared" si="37"/>
        <v>5.0737859817260168E-4</v>
      </c>
      <c r="CS18" s="25">
        <f>AS18/AS$92</f>
        <v>2.8206905468750477E-3</v>
      </c>
    </row>
    <row r="19" spans="1:97" x14ac:dyDescent="0.25">
      <c r="A19" s="14"/>
      <c r="B19" s="11"/>
      <c r="C19" t="s">
        <v>16</v>
      </c>
      <c r="D19">
        <v>0.14616699</v>
      </c>
      <c r="E19">
        <v>15.125581670000001</v>
      </c>
      <c r="F19">
        <v>0.54372030000000005</v>
      </c>
      <c r="G19">
        <v>3.9842802700000002</v>
      </c>
      <c r="H19">
        <v>1.69531553</v>
      </c>
      <c r="I19">
        <v>2.8234879300000002</v>
      </c>
      <c r="J19">
        <v>3.7418423500000002</v>
      </c>
      <c r="K19">
        <v>15.564726950000001</v>
      </c>
      <c r="L19">
        <v>0.18178722</v>
      </c>
      <c r="M19">
        <v>31.942281999999999</v>
      </c>
      <c r="N19">
        <v>9.01579145</v>
      </c>
      <c r="O19">
        <v>25.2353092</v>
      </c>
      <c r="P19">
        <v>234.34917236000001</v>
      </c>
      <c r="Q19">
        <v>312.66167888000001</v>
      </c>
      <c r="R19">
        <v>420.84182589</v>
      </c>
      <c r="S19">
        <v>744.78819212999997</v>
      </c>
      <c r="T19">
        <v>4624.0644733899999</v>
      </c>
      <c r="U19">
        <v>145.79263567000001</v>
      </c>
      <c r="V19">
        <v>8.0067017800000002</v>
      </c>
      <c r="W19">
        <v>6.1835375499999996</v>
      </c>
      <c r="X19">
        <v>3.44154662</v>
      </c>
      <c r="Y19">
        <v>5.6192150000000003E-2</v>
      </c>
      <c r="Z19">
        <v>0.12009628999999999</v>
      </c>
      <c r="AA19">
        <v>236.80168742999999</v>
      </c>
      <c r="AB19">
        <v>113.90126716</v>
      </c>
      <c r="AC19">
        <v>46.691301690000003</v>
      </c>
      <c r="AD19">
        <v>8.6189489199999993</v>
      </c>
      <c r="AE19">
        <v>2.2731495000000002</v>
      </c>
      <c r="AF19">
        <v>1.2393832499999999</v>
      </c>
      <c r="AG19">
        <v>0.20714829000000001</v>
      </c>
      <c r="AH19">
        <v>1845.2040511</v>
      </c>
      <c r="AI19">
        <v>17.095976279999999</v>
      </c>
      <c r="AJ19">
        <v>28.628253999999998</v>
      </c>
      <c r="AK19">
        <v>570.20859313999995</v>
      </c>
      <c r="AL19">
        <v>49.058670710000001</v>
      </c>
      <c r="AM19">
        <v>236.03061023999999</v>
      </c>
      <c r="AN19">
        <v>3.0092106900000002</v>
      </c>
      <c r="AO19">
        <v>167.97313001000001</v>
      </c>
      <c r="AP19">
        <v>25.680752600000002</v>
      </c>
      <c r="AQ19">
        <v>14.19755292</v>
      </c>
      <c r="AR19">
        <v>9.0505668099999994</v>
      </c>
      <c r="AS19">
        <v>27.909892280000001</v>
      </c>
      <c r="AT19" s="4">
        <v>1066.2910629</v>
      </c>
      <c r="AU19" s="1">
        <v>-83.110196220000006</v>
      </c>
      <c r="AV19" s="1">
        <v>5276.3954726600005</v>
      </c>
      <c r="AW19" s="1">
        <v>779.37934202999998</v>
      </c>
      <c r="AX19" s="1">
        <v>3513.8352639499999</v>
      </c>
      <c r="AY19" s="4">
        <v>15290.481964250001</v>
      </c>
      <c r="AZ19">
        <f t="shared" si="38"/>
        <v>15290.481964249999</v>
      </c>
      <c r="BB19" s="18"/>
      <c r="BC19" s="4" t="s">
        <v>16</v>
      </c>
      <c r="BD19">
        <f t="shared" si="39"/>
        <v>1.2150246473167669E-4</v>
      </c>
      <c r="BE19">
        <f t="shared" si="39"/>
        <v>2.059702285023772E-3</v>
      </c>
      <c r="BF19">
        <f t="shared" si="0"/>
        <v>6.4085632206250338E-4</v>
      </c>
      <c r="BG19">
        <f t="shared" si="1"/>
        <v>3.4733040104315303E-4</v>
      </c>
      <c r="BH19">
        <f t="shared" si="2"/>
        <v>5.5350591090476029E-4</v>
      </c>
      <c r="BI19">
        <f t="shared" si="3"/>
        <v>8.4124857060773181E-4</v>
      </c>
      <c r="BJ19">
        <f t="shared" si="4"/>
        <v>1.283786237940808E-3</v>
      </c>
      <c r="BK19">
        <f t="shared" si="5"/>
        <v>3.4299333461825922E-3</v>
      </c>
      <c r="BL19">
        <f t="shared" si="6"/>
        <v>3.2210887210760003E-5</v>
      </c>
      <c r="BM19">
        <f>M19/M$92</f>
        <v>1.7843621806128173E-3</v>
      </c>
      <c r="BN19">
        <f t="shared" si="7"/>
        <v>5.9261080284071191E-4</v>
      </c>
      <c r="BO19">
        <f t="shared" si="8"/>
        <v>3.7867402589183302E-3</v>
      </c>
      <c r="BP19">
        <f t="shared" si="9"/>
        <v>3.4414386332656761E-2</v>
      </c>
      <c r="BQ19">
        <f t="shared" si="10"/>
        <v>6.1736294807704525E-2</v>
      </c>
      <c r="BR19">
        <f t="shared" si="11"/>
        <v>3.4165673092561633E-2</v>
      </c>
      <c r="BS19">
        <f t="shared" si="12"/>
        <v>6.5467852610544289E-2</v>
      </c>
      <c r="BT19">
        <f t="shared" si="13"/>
        <v>0.30241456640753689</v>
      </c>
      <c r="BU19">
        <f t="shared" si="14"/>
        <v>0.10896421238010037</v>
      </c>
      <c r="BV19">
        <f t="shared" si="15"/>
        <v>4.4791410939425333E-3</v>
      </c>
      <c r="BW19">
        <f t="shared" si="16"/>
        <v>1.2512562311408673E-2</v>
      </c>
      <c r="BX19">
        <f t="shared" si="17"/>
        <v>3.4355084704093829E-4</v>
      </c>
      <c r="BY19">
        <f t="shared" si="18"/>
        <v>2.6581853755193141E-5</v>
      </c>
      <c r="BZ19">
        <f t="shared" si="19"/>
        <v>2.0195679394430718E-4</v>
      </c>
      <c r="CA19">
        <f t="shared" si="20"/>
        <v>7.670649878449569E-3</v>
      </c>
      <c r="CB19">
        <f t="shared" si="21"/>
        <v>6.1807413978740384E-3</v>
      </c>
      <c r="CC19">
        <f t="shared" si="22"/>
        <v>2.9394791491431406E-3</v>
      </c>
      <c r="CD19">
        <f t="shared" si="23"/>
        <v>1.3278426286271689E-3</v>
      </c>
      <c r="CE19">
        <f t="shared" si="24"/>
        <v>1.4226654114264125E-4</v>
      </c>
      <c r="CF19">
        <f t="shared" si="25"/>
        <v>3.3446250885229791E-4</v>
      </c>
      <c r="CG19">
        <f t="shared" si="26"/>
        <v>1.2580905794312789E-4</v>
      </c>
      <c r="CH19">
        <f t="shared" si="27"/>
        <v>0.11008945786722558</v>
      </c>
      <c r="CI19">
        <f t="shared" si="28"/>
        <v>1.3447889828545187E-3</v>
      </c>
      <c r="CJ19">
        <f t="shared" si="29"/>
        <v>2.320731199019487E-3</v>
      </c>
      <c r="CK19">
        <f t="shared" si="30"/>
        <v>3.8716396560444719E-2</v>
      </c>
      <c r="CL19">
        <f t="shared" si="31"/>
        <v>1.6046449416198E-2</v>
      </c>
      <c r="CM19">
        <f t="shared" si="32"/>
        <v>3.4738944803833584E-2</v>
      </c>
      <c r="CN19">
        <f t="shared" si="33"/>
        <v>1.9999170112754185E-3</v>
      </c>
      <c r="CO19">
        <f t="shared" si="34"/>
        <v>3.4105497967706011E-2</v>
      </c>
      <c r="CP19">
        <f t="shared" si="35"/>
        <v>4.0457584519490164E-3</v>
      </c>
      <c r="CQ19">
        <f t="shared" si="36"/>
        <v>2.2545390574128434E-3</v>
      </c>
      <c r="CR19">
        <f t="shared" si="37"/>
        <v>3.927519509096037E-3</v>
      </c>
      <c r="CS19" s="25">
        <f t="shared" ref="CS19:CS82" si="40">AS19/AS$92</f>
        <v>2.7887782740455436E-3</v>
      </c>
    </row>
    <row r="20" spans="1:97" x14ac:dyDescent="0.25">
      <c r="A20" s="14"/>
      <c r="B20" s="11"/>
      <c r="C20" t="s">
        <v>17</v>
      </c>
      <c r="D20">
        <v>0.13056815999999999</v>
      </c>
      <c r="E20">
        <v>1.0167281800000001</v>
      </c>
      <c r="F20">
        <v>2.13771713</v>
      </c>
      <c r="G20">
        <v>0.47294996</v>
      </c>
      <c r="H20">
        <v>0.86087817</v>
      </c>
      <c r="I20">
        <v>0.15208036</v>
      </c>
      <c r="J20">
        <v>0.22976012000000001</v>
      </c>
      <c r="K20">
        <v>1.34158687</v>
      </c>
      <c r="L20">
        <v>1.0519384300000001</v>
      </c>
      <c r="M20">
        <v>7.85795084</v>
      </c>
      <c r="N20">
        <v>4.8876760600000004</v>
      </c>
      <c r="O20">
        <v>3.2413027900000002</v>
      </c>
      <c r="P20">
        <v>34.919462660000001</v>
      </c>
      <c r="Q20">
        <v>72.261478550000007</v>
      </c>
      <c r="R20">
        <v>57.265231659999998</v>
      </c>
      <c r="S20">
        <v>78.329253140000006</v>
      </c>
      <c r="T20">
        <v>103.74200429</v>
      </c>
      <c r="U20">
        <v>159.13024938999999</v>
      </c>
      <c r="V20">
        <v>0.11896787</v>
      </c>
      <c r="W20">
        <v>4.4097673300000002</v>
      </c>
      <c r="X20">
        <v>36.499321170000002</v>
      </c>
      <c r="Y20">
        <v>0.65395203000000002</v>
      </c>
      <c r="Z20">
        <v>0.48272615000000002</v>
      </c>
      <c r="AA20">
        <v>39.211245009999999</v>
      </c>
      <c r="AB20">
        <v>0.14997933999999999</v>
      </c>
      <c r="AC20">
        <v>0.90284383000000001</v>
      </c>
      <c r="AD20">
        <v>6.0315979999999998E-2</v>
      </c>
      <c r="AE20">
        <v>0.33074135999999998</v>
      </c>
      <c r="AF20">
        <v>1.3489544200000001</v>
      </c>
      <c r="AG20">
        <v>1.8195184900000001</v>
      </c>
      <c r="AH20">
        <v>14.045614499999999</v>
      </c>
      <c r="AI20">
        <v>5.2366000000000001E-4</v>
      </c>
      <c r="AJ20">
        <v>3.6659959999999998E-2</v>
      </c>
      <c r="AK20">
        <v>1.0258714499999999</v>
      </c>
      <c r="AL20">
        <v>78.392938999999998</v>
      </c>
      <c r="AM20">
        <v>213.68044452999999</v>
      </c>
      <c r="AN20">
        <v>7.1469271900000004</v>
      </c>
      <c r="AO20">
        <v>9.8964395799999991</v>
      </c>
      <c r="AP20">
        <v>53.293577569999997</v>
      </c>
      <c r="AQ20">
        <v>8.7900131199999993</v>
      </c>
      <c r="AR20">
        <v>1.8624656900000001</v>
      </c>
      <c r="AS20">
        <v>7.0948443599999997</v>
      </c>
      <c r="AT20" s="4">
        <v>9.8998682000000002</v>
      </c>
      <c r="AU20" s="1">
        <v>40.688463220000003</v>
      </c>
      <c r="AV20" s="1">
        <v>327.70294267000003</v>
      </c>
      <c r="AW20" s="1">
        <v>12.357247279999999</v>
      </c>
      <c r="AX20" s="1">
        <v>264.75736396000002</v>
      </c>
      <c r="AY20" s="4">
        <v>1337.9864130000001</v>
      </c>
      <c r="AZ20">
        <f t="shared" si="38"/>
        <v>1337.9864130200001</v>
      </c>
      <c r="BB20" s="18"/>
      <c r="BC20" s="4" t="s">
        <v>17</v>
      </c>
      <c r="BD20">
        <f t="shared" si="39"/>
        <v>1.0853581410878009E-4</v>
      </c>
      <c r="BE20">
        <f t="shared" si="39"/>
        <v>1.3845136017133158E-4</v>
      </c>
      <c r="BF20">
        <f t="shared" si="0"/>
        <v>2.5196218304554935E-3</v>
      </c>
      <c r="BG20">
        <f t="shared" si="1"/>
        <v>4.1229503987715996E-5</v>
      </c>
      <c r="BH20">
        <f t="shared" si="2"/>
        <v>2.81069303756023E-4</v>
      </c>
      <c r="BI20">
        <f t="shared" si="3"/>
        <v>4.5311823049836537E-5</v>
      </c>
      <c r="BJ20">
        <f t="shared" si="4"/>
        <v>7.8828248892855841E-5</v>
      </c>
      <c r="BK20">
        <f t="shared" si="5"/>
        <v>2.9563985009153855E-4</v>
      </c>
      <c r="BL20">
        <f t="shared" si="6"/>
        <v>1.863930265361556E-4</v>
      </c>
      <c r="BM20">
        <f>M20/M$92</f>
        <v>4.389614460235095E-4</v>
      </c>
      <c r="BN20">
        <f t="shared" si="7"/>
        <v>3.2126848208561079E-4</v>
      </c>
      <c r="BO20">
        <f t="shared" si="8"/>
        <v>4.8638087486708136E-4</v>
      </c>
      <c r="BP20">
        <f t="shared" si="9"/>
        <v>5.1279544382770784E-3</v>
      </c>
      <c r="BQ20">
        <f t="shared" si="10"/>
        <v>1.4268316983980678E-2</v>
      </c>
      <c r="BR20">
        <f t="shared" si="11"/>
        <v>4.6490274114929899E-3</v>
      </c>
      <c r="BS20">
        <f t="shared" si="12"/>
        <v>6.8852434206804021E-3</v>
      </c>
      <c r="BT20">
        <f t="shared" si="13"/>
        <v>6.7847439035833559E-3</v>
      </c>
      <c r="BU20">
        <f t="shared" si="14"/>
        <v>0.11893263477229443</v>
      </c>
      <c r="BV20">
        <f t="shared" si="15"/>
        <v>6.6553481073428108E-5</v>
      </c>
      <c r="BW20">
        <f t="shared" si="16"/>
        <v>8.9232883360495247E-3</v>
      </c>
      <c r="BX20">
        <f t="shared" si="17"/>
        <v>3.6435283577163197E-3</v>
      </c>
      <c r="BY20">
        <f t="shared" si="18"/>
        <v>3.0935383722409052E-4</v>
      </c>
      <c r="BZ20">
        <f t="shared" si="19"/>
        <v>8.1176384055726232E-4</v>
      </c>
      <c r="CA20">
        <f t="shared" si="20"/>
        <v>1.2701587350754156E-3</v>
      </c>
      <c r="CB20">
        <f t="shared" si="21"/>
        <v>8.1384829043356316E-6</v>
      </c>
      <c r="CC20">
        <f t="shared" si="22"/>
        <v>5.6839079596402111E-5</v>
      </c>
      <c r="CD20">
        <f t="shared" si="23"/>
        <v>9.2923313706590281E-6</v>
      </c>
      <c r="CE20">
        <f t="shared" si="24"/>
        <v>2.0699663308556308E-5</v>
      </c>
      <c r="CF20">
        <f t="shared" si="25"/>
        <v>3.6403160978704243E-4</v>
      </c>
      <c r="CG20">
        <f t="shared" si="26"/>
        <v>1.1050629823543443E-3</v>
      </c>
      <c r="CH20">
        <f t="shared" si="27"/>
        <v>8.379962556418879E-4</v>
      </c>
      <c r="CI20">
        <f t="shared" si="28"/>
        <v>4.1191692549634105E-8</v>
      </c>
      <c r="CJ20">
        <f t="shared" si="29"/>
        <v>2.9718163366444367E-6</v>
      </c>
      <c r="CK20">
        <f t="shared" si="30"/>
        <v>6.9655291688118588E-5</v>
      </c>
      <c r="CL20">
        <f t="shared" si="31"/>
        <v>2.5641304830425878E-2</v>
      </c>
      <c r="CM20">
        <f t="shared" si="32"/>
        <v>3.1449451241253944E-2</v>
      </c>
      <c r="CN20">
        <f t="shared" si="33"/>
        <v>4.7498373288138978E-3</v>
      </c>
      <c r="CO20">
        <f t="shared" si="34"/>
        <v>2.0093868582619218E-3</v>
      </c>
      <c r="CP20">
        <f t="shared" si="35"/>
        <v>8.3958965395908216E-3</v>
      </c>
      <c r="CQ20">
        <f t="shared" si="36"/>
        <v>1.395834057170137E-3</v>
      </c>
      <c r="CR20">
        <f t="shared" si="37"/>
        <v>8.0822234519221372E-4</v>
      </c>
      <c r="CS20" s="25">
        <f t="shared" si="40"/>
        <v>7.0892239964254569E-4</v>
      </c>
    </row>
    <row r="21" spans="1:97" x14ac:dyDescent="0.25">
      <c r="A21" s="14"/>
      <c r="B21" s="11"/>
      <c r="C21" t="s">
        <v>18</v>
      </c>
      <c r="D21">
        <v>0.55368065</v>
      </c>
      <c r="E21">
        <v>74.759662599999999</v>
      </c>
      <c r="F21">
        <v>0.31472991</v>
      </c>
      <c r="G21">
        <v>2.7967749300000002</v>
      </c>
      <c r="H21">
        <v>2.4477332299999999</v>
      </c>
      <c r="I21">
        <v>20.074526110000001</v>
      </c>
      <c r="J21">
        <v>3.7516044100000001</v>
      </c>
      <c r="K21">
        <v>134.20921435</v>
      </c>
      <c r="L21">
        <v>1.47939916</v>
      </c>
      <c r="M21">
        <v>58.025955799999998</v>
      </c>
      <c r="N21">
        <v>723.08469845000002</v>
      </c>
      <c r="O21">
        <v>123.13372552</v>
      </c>
      <c r="P21">
        <v>6.6121801400000004</v>
      </c>
      <c r="Q21">
        <v>6.2347914500000003</v>
      </c>
      <c r="R21">
        <v>6.8141958899999997</v>
      </c>
      <c r="S21">
        <v>17.140178599999999</v>
      </c>
      <c r="T21">
        <v>12.223035360000001</v>
      </c>
      <c r="U21">
        <v>5.4504709999999998E-2</v>
      </c>
      <c r="V21">
        <v>239.30519716000001</v>
      </c>
      <c r="W21">
        <v>0.58117936999999997</v>
      </c>
      <c r="X21">
        <v>0.34346338999999998</v>
      </c>
      <c r="Y21">
        <v>5.9393400000000004E-3</v>
      </c>
      <c r="Z21">
        <v>6.1815200000000002E-3</v>
      </c>
      <c r="AA21">
        <v>17.018571550000001</v>
      </c>
      <c r="AB21">
        <v>5.4698700000000003E-2</v>
      </c>
      <c r="AC21">
        <v>1.24223415</v>
      </c>
      <c r="AD21">
        <v>1.52465429</v>
      </c>
      <c r="AE21">
        <v>0.43883281000000002</v>
      </c>
      <c r="AF21">
        <v>1.41809199</v>
      </c>
      <c r="AG21">
        <v>0.54143545999999998</v>
      </c>
      <c r="AH21">
        <v>0.68955283000000001</v>
      </c>
      <c r="AI21">
        <v>5.6547149999999997E-2</v>
      </c>
      <c r="AJ21">
        <v>7.9266527800000004</v>
      </c>
      <c r="AK21">
        <v>12.243589679999999</v>
      </c>
      <c r="AL21">
        <v>3.4799900000000001E-3</v>
      </c>
      <c r="AM21">
        <v>34.342964010000003</v>
      </c>
      <c r="AN21">
        <v>4.3770032299999997</v>
      </c>
      <c r="AO21">
        <v>43.063582320000002</v>
      </c>
      <c r="AP21">
        <v>9.3602809999999995E-2</v>
      </c>
      <c r="AQ21">
        <v>1.3291765099999999</v>
      </c>
      <c r="AR21">
        <v>2.7645478899999998</v>
      </c>
      <c r="AS21">
        <v>11.43915088</v>
      </c>
      <c r="AT21" s="4">
        <v>0</v>
      </c>
      <c r="AU21" s="1">
        <v>12.89378176</v>
      </c>
      <c r="AV21" s="1">
        <v>213.03200749999999</v>
      </c>
      <c r="AW21" s="1">
        <v>32.526417019999997</v>
      </c>
      <c r="AX21" s="1">
        <v>167.61180872</v>
      </c>
      <c r="AY21" s="4">
        <v>1787.5529285800001</v>
      </c>
      <c r="AZ21">
        <f t="shared" si="38"/>
        <v>1787.5529285799994</v>
      </c>
      <c r="BB21" s="18"/>
      <c r="BC21" s="4" t="s">
        <v>18</v>
      </c>
      <c r="BD21">
        <f t="shared" si="39"/>
        <v>4.6025141277956688E-4</v>
      </c>
      <c r="BE21">
        <f t="shared" si="39"/>
        <v>1.0180279426227594E-2</v>
      </c>
      <c r="BF21">
        <f t="shared" si="0"/>
        <v>3.7095663444175741E-4</v>
      </c>
      <c r="BG21">
        <f t="shared" si="1"/>
        <v>2.4380939397728067E-4</v>
      </c>
      <c r="BH21">
        <f t="shared" si="2"/>
        <v>7.991638058804317E-4</v>
      </c>
      <c r="BI21">
        <f t="shared" si="3"/>
        <v>5.9811363867473977E-3</v>
      </c>
      <c r="BJ21">
        <f t="shared" si="4"/>
        <v>1.2871354967041956E-3</v>
      </c>
      <c r="BK21">
        <f t="shared" si="5"/>
        <v>2.9575119508539287E-2</v>
      </c>
      <c r="BL21">
        <f t="shared" si="6"/>
        <v>2.6213481609132421E-4</v>
      </c>
      <c r="BM21">
        <f>M21/M$92</f>
        <v>3.2414503454521798E-3</v>
      </c>
      <c r="BN21">
        <f t="shared" si="7"/>
        <v>4.752858426758403E-2</v>
      </c>
      <c r="BO21">
        <f t="shared" si="8"/>
        <v>1.8477104122710072E-2</v>
      </c>
      <c r="BP21">
        <f t="shared" si="9"/>
        <v>9.7100458920980869E-4</v>
      </c>
      <c r="BQ21">
        <f t="shared" si="10"/>
        <v>1.2310844245465901E-3</v>
      </c>
      <c r="BR21">
        <f t="shared" si="11"/>
        <v>5.5320449357443269E-4</v>
      </c>
      <c r="BS21">
        <f t="shared" si="12"/>
        <v>1.5066440340495376E-3</v>
      </c>
      <c r="BT21">
        <f t="shared" si="13"/>
        <v>7.9938849465662084E-4</v>
      </c>
      <c r="BU21">
        <f t="shared" si="14"/>
        <v>4.0736370317076799E-5</v>
      </c>
      <c r="BV21">
        <f t="shared" si="15"/>
        <v>0.13387306934184029</v>
      </c>
      <c r="BW21">
        <f t="shared" si="16"/>
        <v>1.1760328165598729E-3</v>
      </c>
      <c r="BX21">
        <f t="shared" si="17"/>
        <v>3.4286078786883359E-5</v>
      </c>
      <c r="BY21">
        <f t="shared" si="18"/>
        <v>2.8096214023198762E-6</v>
      </c>
      <c r="BZ21">
        <f t="shared" si="19"/>
        <v>1.0394991892777153E-5</v>
      </c>
      <c r="CA21">
        <f t="shared" si="20"/>
        <v>5.5127775991876005E-4</v>
      </c>
      <c r="CB21">
        <f t="shared" si="21"/>
        <v>2.9681717151134514E-6</v>
      </c>
      <c r="CC21">
        <f t="shared" si="22"/>
        <v>7.8205602545036964E-5</v>
      </c>
      <c r="CD21">
        <f t="shared" si="23"/>
        <v>2.3488954151746963E-4</v>
      </c>
      <c r="CE21">
        <f t="shared" si="24"/>
        <v>2.7464637067912106E-5</v>
      </c>
      <c r="CF21">
        <f t="shared" si="25"/>
        <v>3.8268921639754921E-4</v>
      </c>
      <c r="CG21">
        <f t="shared" si="26"/>
        <v>3.2883440727222079E-4</v>
      </c>
      <c r="CH21">
        <f t="shared" si="27"/>
        <v>4.1140434945531735E-5</v>
      </c>
      <c r="CI21">
        <f t="shared" si="28"/>
        <v>4.4480632802926359E-6</v>
      </c>
      <c r="CJ21">
        <f t="shared" si="29"/>
        <v>6.4256906517388566E-4</v>
      </c>
      <c r="CK21">
        <f t="shared" si="30"/>
        <v>8.3132327200453686E-4</v>
      </c>
      <c r="CL21">
        <f t="shared" si="31"/>
        <v>1.1382592046566049E-6</v>
      </c>
      <c r="CM21">
        <f t="shared" si="32"/>
        <v>5.0545915630618062E-3</v>
      </c>
      <c r="CN21">
        <f t="shared" si="33"/>
        <v>2.9089499273593409E-3</v>
      </c>
      <c r="CO21">
        <f t="shared" si="34"/>
        <v>8.743689655657803E-3</v>
      </c>
      <c r="CP21">
        <f t="shared" si="35"/>
        <v>1.4746232931027023E-5</v>
      </c>
      <c r="CQ21">
        <f t="shared" si="36"/>
        <v>2.1107020152531276E-4</v>
      </c>
      <c r="CR21">
        <f t="shared" si="37"/>
        <v>1.1996835115131628E-3</v>
      </c>
      <c r="CS21" s="25">
        <f t="shared" si="40"/>
        <v>1.1430089062197185E-3</v>
      </c>
    </row>
    <row r="22" spans="1:97" x14ac:dyDescent="0.25">
      <c r="A22" s="14"/>
      <c r="B22" s="11"/>
      <c r="C22" t="s">
        <v>19</v>
      </c>
      <c r="D22">
        <v>1.60504124</v>
      </c>
      <c r="E22">
        <v>18.24315928</v>
      </c>
      <c r="F22">
        <v>1.44770143</v>
      </c>
      <c r="G22">
        <v>4.8566927299999998</v>
      </c>
      <c r="H22">
        <v>1.4921164600000001</v>
      </c>
      <c r="I22">
        <v>0.53528942000000002</v>
      </c>
      <c r="J22">
        <v>1.23988111</v>
      </c>
      <c r="K22">
        <v>5.0185727499999997</v>
      </c>
      <c r="L22">
        <v>5.8017596500000002</v>
      </c>
      <c r="M22">
        <v>20.302227500000001</v>
      </c>
      <c r="N22">
        <v>21.68531372</v>
      </c>
      <c r="O22">
        <v>5.0870182000000002</v>
      </c>
      <c r="P22">
        <v>9.72457481</v>
      </c>
      <c r="Q22">
        <v>5.1605899600000003</v>
      </c>
      <c r="R22">
        <v>10.03169203</v>
      </c>
      <c r="S22">
        <v>6.1867985499999998</v>
      </c>
      <c r="T22">
        <v>13.32777802</v>
      </c>
      <c r="U22">
        <v>0.78151495000000004</v>
      </c>
      <c r="V22">
        <v>4.7055289299999998</v>
      </c>
      <c r="W22">
        <v>0.75490172</v>
      </c>
      <c r="X22">
        <v>56.485522009999997</v>
      </c>
      <c r="Y22">
        <v>5.7074142099999996</v>
      </c>
      <c r="Z22">
        <v>5.5294787300000001</v>
      </c>
      <c r="AA22">
        <v>9.1268718900000003</v>
      </c>
      <c r="AB22">
        <v>1.36897343</v>
      </c>
      <c r="AC22">
        <v>30.32772362</v>
      </c>
      <c r="AD22">
        <v>8.7506994799999998</v>
      </c>
      <c r="AE22">
        <v>14.31356018</v>
      </c>
      <c r="AF22">
        <v>6.3232491199999998</v>
      </c>
      <c r="AG22">
        <v>0.68669690999999999</v>
      </c>
      <c r="AH22">
        <v>1.54318965</v>
      </c>
      <c r="AI22">
        <v>0.92455834999999997</v>
      </c>
      <c r="AJ22">
        <v>48.722438850000003</v>
      </c>
      <c r="AK22">
        <v>33.564320729999999</v>
      </c>
      <c r="AL22">
        <v>0.14180118999999999</v>
      </c>
      <c r="AM22">
        <v>9.5887284499999996</v>
      </c>
      <c r="AN22">
        <v>4.1269306200000004</v>
      </c>
      <c r="AO22">
        <v>3.1977567200000001</v>
      </c>
      <c r="AP22">
        <v>6.9607607600000003</v>
      </c>
      <c r="AQ22">
        <v>2.17561581</v>
      </c>
      <c r="AR22">
        <v>3.5183153699999998</v>
      </c>
      <c r="AS22">
        <v>4.1468869699999997</v>
      </c>
      <c r="AT22" s="4">
        <v>28.023011109999999</v>
      </c>
      <c r="AU22" s="1">
        <v>0</v>
      </c>
      <c r="AV22" s="1">
        <v>98.966708650000001</v>
      </c>
      <c r="AW22" s="1">
        <v>0</v>
      </c>
      <c r="AX22" s="1">
        <v>70.943697549999996</v>
      </c>
      <c r="AY22" s="4">
        <v>494.18635415</v>
      </c>
      <c r="AZ22">
        <f t="shared" si="38"/>
        <v>494.18635416000006</v>
      </c>
      <c r="BB22" s="18"/>
      <c r="BC22" s="4" t="s">
        <v>19</v>
      </c>
      <c r="BD22">
        <f t="shared" si="39"/>
        <v>1.3342032059084383E-3</v>
      </c>
      <c r="BE22">
        <f t="shared" si="39"/>
        <v>2.4842335108074313E-3</v>
      </c>
      <c r="BF22">
        <f t="shared" si="0"/>
        <v>1.7063343301223562E-3</v>
      </c>
      <c r="BG22">
        <f t="shared" si="1"/>
        <v>4.2338312551849306E-4</v>
      </c>
      <c r="BH22">
        <f t="shared" si="2"/>
        <v>4.8716316564874883E-4</v>
      </c>
      <c r="BI22">
        <f t="shared" si="3"/>
        <v>1.5948765165659545E-4</v>
      </c>
      <c r="BJ22">
        <f t="shared" si="4"/>
        <v>4.2538999690908228E-4</v>
      </c>
      <c r="BK22">
        <f t="shared" si="5"/>
        <v>1.1059217473434876E-3</v>
      </c>
      <c r="BL22">
        <f t="shared" si="6"/>
        <v>1.0280141019269034E-3</v>
      </c>
      <c r="BM22">
        <f>M22/M$92</f>
        <v>1.1341245729781456E-3</v>
      </c>
      <c r="BN22">
        <f t="shared" si="7"/>
        <v>1.4253824797003159E-3</v>
      </c>
      <c r="BO22">
        <f t="shared" si="8"/>
        <v>7.6334379195124979E-4</v>
      </c>
      <c r="BP22">
        <f t="shared" si="9"/>
        <v>1.4280625404473786E-3</v>
      </c>
      <c r="BQ22">
        <f t="shared" si="10"/>
        <v>1.0189790584298551E-3</v>
      </c>
      <c r="BR22">
        <f t="shared" si="11"/>
        <v>8.1441408476309938E-4</v>
      </c>
      <c r="BS22">
        <f t="shared" si="12"/>
        <v>5.4382765446935478E-4</v>
      </c>
      <c r="BT22">
        <f t="shared" si="13"/>
        <v>8.7163884376796879E-4</v>
      </c>
      <c r="BU22">
        <f t="shared" si="14"/>
        <v>5.8409782221631413E-4</v>
      </c>
      <c r="BV22">
        <f t="shared" si="15"/>
        <v>2.6323857910814357E-3</v>
      </c>
      <c r="BW22">
        <f t="shared" si="16"/>
        <v>1.5275648824174413E-3</v>
      </c>
      <c r="BX22">
        <f t="shared" si="17"/>
        <v>5.6386418883045851E-3</v>
      </c>
      <c r="BY22">
        <f t="shared" si="18"/>
        <v>2.6999082585473446E-3</v>
      </c>
      <c r="BZ22">
        <f t="shared" si="19"/>
        <v>9.2985036964425751E-3</v>
      </c>
      <c r="CA22">
        <f t="shared" si="20"/>
        <v>2.9564417176861709E-4</v>
      </c>
      <c r="CB22">
        <f t="shared" si="21"/>
        <v>7.4286010703505654E-5</v>
      </c>
      <c r="CC22">
        <f t="shared" si="22"/>
        <v>1.9093001907260797E-3</v>
      </c>
      <c r="CD22">
        <f t="shared" si="23"/>
        <v>1.3481402323764556E-3</v>
      </c>
      <c r="CE22">
        <f t="shared" si="24"/>
        <v>8.9582348114175569E-4</v>
      </c>
      <c r="CF22">
        <f t="shared" si="25"/>
        <v>1.7064049919774896E-3</v>
      </c>
      <c r="CG22">
        <f t="shared" si="26"/>
        <v>4.1705722668314993E-4</v>
      </c>
      <c r="CH22">
        <f t="shared" si="27"/>
        <v>9.2070528380607027E-5</v>
      </c>
      <c r="CI22">
        <f t="shared" si="28"/>
        <v>7.2726813767324218E-5</v>
      </c>
      <c r="CJ22">
        <f t="shared" si="29"/>
        <v>3.9496535112310428E-3</v>
      </c>
      <c r="CK22">
        <f t="shared" si="30"/>
        <v>2.2789722345443143E-3</v>
      </c>
      <c r="CL22">
        <f t="shared" si="31"/>
        <v>4.6381314241926014E-5</v>
      </c>
      <c r="CM22">
        <f t="shared" si="32"/>
        <v>1.4112674115649433E-3</v>
      </c>
      <c r="CN22">
        <f t="shared" si="33"/>
        <v>2.7427520375090156E-3</v>
      </c>
      <c r="CO22">
        <f t="shared" si="34"/>
        <v>6.4927697250557548E-4</v>
      </c>
      <c r="CP22">
        <f t="shared" si="35"/>
        <v>1.0966016890316937E-3</v>
      </c>
      <c r="CQ22">
        <f t="shared" si="36"/>
        <v>3.4548283392275462E-4</v>
      </c>
      <c r="CR22">
        <f t="shared" si="37"/>
        <v>1.5267830783326863E-3</v>
      </c>
      <c r="CS22" s="25">
        <f t="shared" si="40"/>
        <v>4.1436019067496574E-4</v>
      </c>
    </row>
    <row r="23" spans="1:97" x14ac:dyDescent="0.25">
      <c r="A23" s="14"/>
      <c r="B23" s="11"/>
      <c r="C23" t="s">
        <v>20</v>
      </c>
      <c r="D23">
        <v>64.095959379999996</v>
      </c>
      <c r="E23">
        <v>282.29742607999998</v>
      </c>
      <c r="F23">
        <v>42.663342489999998</v>
      </c>
      <c r="G23">
        <v>98.614476629999999</v>
      </c>
      <c r="H23">
        <v>111.23433037</v>
      </c>
      <c r="I23">
        <v>37.228250350000003</v>
      </c>
      <c r="J23">
        <v>37.516283100000003</v>
      </c>
      <c r="K23">
        <v>90.990957800000004</v>
      </c>
      <c r="L23">
        <v>121.9589936</v>
      </c>
      <c r="M23">
        <v>738.29957532000003</v>
      </c>
      <c r="N23">
        <v>1105.5115963200001</v>
      </c>
      <c r="O23">
        <v>150.24320008000001</v>
      </c>
      <c r="P23">
        <v>75.849057970000004</v>
      </c>
      <c r="Q23">
        <v>30.45475094</v>
      </c>
      <c r="R23">
        <v>78.764825999999999</v>
      </c>
      <c r="S23">
        <v>110.55916594</v>
      </c>
      <c r="T23">
        <v>160.03943713999999</v>
      </c>
      <c r="U23">
        <v>6.1922783800000003</v>
      </c>
      <c r="V23">
        <v>61.165631930000004</v>
      </c>
      <c r="W23">
        <v>5.6863228399999999</v>
      </c>
      <c r="X23">
        <v>3936.2737543799999</v>
      </c>
      <c r="Y23">
        <v>12.23417325</v>
      </c>
      <c r="Z23">
        <v>51.124437649999997</v>
      </c>
      <c r="AA23">
        <v>87.010019</v>
      </c>
      <c r="AB23">
        <v>224.48169247000001</v>
      </c>
      <c r="AC23">
        <v>163.78163620999999</v>
      </c>
      <c r="AD23">
        <v>92.526013640000002</v>
      </c>
      <c r="AE23">
        <v>252.61916331</v>
      </c>
      <c r="AF23">
        <v>124.88985921</v>
      </c>
      <c r="AG23">
        <v>30.908612170000001</v>
      </c>
      <c r="AH23">
        <v>93.514825049999999</v>
      </c>
      <c r="AI23">
        <v>20.232757960000001</v>
      </c>
      <c r="AJ23">
        <v>100.62511855</v>
      </c>
      <c r="AK23">
        <v>59.268147710000001</v>
      </c>
      <c r="AL23">
        <v>13.02566648</v>
      </c>
      <c r="AM23">
        <v>9.4333214200000004</v>
      </c>
      <c r="AN23">
        <v>45.243826929999997</v>
      </c>
      <c r="AO23">
        <v>50.614751589999997</v>
      </c>
      <c r="AP23">
        <v>63.58306597</v>
      </c>
      <c r="AQ23">
        <v>47.561143389999998</v>
      </c>
      <c r="AR23">
        <v>24.234867900000001</v>
      </c>
      <c r="AS23">
        <v>62.463860820000001</v>
      </c>
      <c r="AT23" s="4">
        <v>0</v>
      </c>
      <c r="AU23" s="1">
        <v>0</v>
      </c>
      <c r="AV23" s="1">
        <v>1042.5591309199999</v>
      </c>
      <c r="AW23" s="1">
        <v>1030.4850623699999</v>
      </c>
      <c r="AX23" s="1">
        <v>12.07406855</v>
      </c>
      <c r="AY23" s="4">
        <v>10017.575708660001</v>
      </c>
      <c r="AZ23">
        <f t="shared" si="38"/>
        <v>10017.575708640001</v>
      </c>
      <c r="BB23" s="18"/>
      <c r="BC23" s="4" t="s">
        <v>20</v>
      </c>
      <c r="BD23">
        <f t="shared" si="39"/>
        <v>5.3280272406317129E-2</v>
      </c>
      <c r="BE23">
        <f t="shared" si="39"/>
        <v>3.8441407824106856E-2</v>
      </c>
      <c r="BF23">
        <f t="shared" si="0"/>
        <v>5.028517926410752E-2</v>
      </c>
      <c r="BG23">
        <f t="shared" si="1"/>
        <v>8.5967360214241496E-3</v>
      </c>
      <c r="BH23">
        <f t="shared" si="2"/>
        <v>3.6317050286991642E-2</v>
      </c>
      <c r="BI23">
        <f t="shared" si="3"/>
        <v>1.1092029847340021E-2</v>
      </c>
      <c r="BJ23">
        <f t="shared" si="4"/>
        <v>1.2871436965395219E-2</v>
      </c>
      <c r="BK23">
        <f t="shared" si="5"/>
        <v>2.0051294273383511E-2</v>
      </c>
      <c r="BL23">
        <f t="shared" si="6"/>
        <v>2.1609920582906769E-2</v>
      </c>
      <c r="BM23">
        <f>M23/M$92</f>
        <v>4.1242946892883617E-2</v>
      </c>
      <c r="BN23">
        <f t="shared" si="7"/>
        <v>7.2665624341267596E-2</v>
      </c>
      <c r="BO23">
        <f t="shared" si="8"/>
        <v>2.2545076419022349E-2</v>
      </c>
      <c r="BP23">
        <f t="shared" si="9"/>
        <v>1.113850225140884E-2</v>
      </c>
      <c r="BQ23">
        <f t="shared" si="10"/>
        <v>6.0134119699672755E-3</v>
      </c>
      <c r="BR23">
        <f t="shared" si="11"/>
        <v>6.3944530480482438E-3</v>
      </c>
      <c r="BS23">
        <f t="shared" si="12"/>
        <v>9.7182947541161468E-3</v>
      </c>
      <c r="BT23">
        <f t="shared" si="13"/>
        <v>1.0466605141281166E-2</v>
      </c>
      <c r="BU23">
        <f t="shared" si="14"/>
        <v>4.6280577438923796E-3</v>
      </c>
      <c r="BV23">
        <f t="shared" si="15"/>
        <v>3.4217522151128076E-2</v>
      </c>
      <c r="BW23">
        <f t="shared" si="16"/>
        <v>1.1506434348132378E-2</v>
      </c>
      <c r="BX23">
        <f t="shared" si="17"/>
        <v>0.39293676123505872</v>
      </c>
      <c r="BY23">
        <f t="shared" si="18"/>
        <v>5.7874098810455901E-3</v>
      </c>
      <c r="BZ23">
        <f t="shared" si="19"/>
        <v>8.5972077239019049E-2</v>
      </c>
      <c r="CA23">
        <f t="shared" si="20"/>
        <v>2.8184908600515741E-3</v>
      </c>
      <c r="CB23">
        <f t="shared" si="21"/>
        <v>1.2181280545063233E-2</v>
      </c>
      <c r="CC23">
        <f t="shared" si="22"/>
        <v>1.031097200605465E-2</v>
      </c>
      <c r="CD23">
        <f t="shared" si="23"/>
        <v>1.4254636651000236E-2</v>
      </c>
      <c r="CE23">
        <f t="shared" si="24"/>
        <v>1.581033477580851E-2</v>
      </c>
      <c r="CF23">
        <f t="shared" si="25"/>
        <v>3.3703033861065067E-2</v>
      </c>
      <c r="CG23">
        <f t="shared" si="26"/>
        <v>1.8771979143236944E-2</v>
      </c>
      <c r="CH23">
        <f t="shared" si="27"/>
        <v>5.5793267883655941E-3</v>
      </c>
      <c r="CI23">
        <f t="shared" si="28"/>
        <v>1.5915318055980639E-3</v>
      </c>
      <c r="CJ23">
        <f t="shared" si="29"/>
        <v>8.1571112238985836E-3</v>
      </c>
      <c r="CK23">
        <f t="shared" si="30"/>
        <v>4.0242275155961777E-3</v>
      </c>
      <c r="CL23">
        <f t="shared" si="31"/>
        <v>4.2605251071546179E-3</v>
      </c>
      <c r="CM23">
        <f t="shared" si="32"/>
        <v>1.3883946314971027E-3</v>
      </c>
      <c r="CN23">
        <f t="shared" si="33"/>
        <v>3.0068981023229014E-2</v>
      </c>
      <c r="CO23">
        <f t="shared" si="34"/>
        <v>1.0276889567908393E-2</v>
      </c>
      <c r="CP23">
        <f t="shared" si="35"/>
        <v>1.0016907625556088E-2</v>
      </c>
      <c r="CQ23">
        <f t="shared" si="36"/>
        <v>7.5526012117845785E-3</v>
      </c>
      <c r="CR23">
        <f t="shared" si="37"/>
        <v>1.0516790658066565E-2</v>
      </c>
      <c r="CS23" s="25">
        <f t="shared" si="40"/>
        <v>6.2414378464889101E-3</v>
      </c>
    </row>
    <row r="24" spans="1:97" x14ac:dyDescent="0.25">
      <c r="A24" s="14"/>
      <c r="B24" s="11"/>
      <c r="C24" t="s">
        <v>21</v>
      </c>
      <c r="D24">
        <v>1.3589454700000001</v>
      </c>
      <c r="E24">
        <v>129.96901817</v>
      </c>
      <c r="F24">
        <v>1.31457552</v>
      </c>
      <c r="G24">
        <v>1.71496165</v>
      </c>
      <c r="H24">
        <v>1.2671342000000001</v>
      </c>
      <c r="I24">
        <v>0.32058154</v>
      </c>
      <c r="J24">
        <v>8.1553760000000003E-2</v>
      </c>
      <c r="K24">
        <v>9.1586809900000006</v>
      </c>
      <c r="L24">
        <v>2.9697703299999998</v>
      </c>
      <c r="M24">
        <v>66.332144779999993</v>
      </c>
      <c r="N24">
        <v>87.444379459999993</v>
      </c>
      <c r="O24">
        <v>36.496922269999999</v>
      </c>
      <c r="P24">
        <v>10.595242389999999</v>
      </c>
      <c r="Q24">
        <v>6.36873617</v>
      </c>
      <c r="R24">
        <v>14.40949022</v>
      </c>
      <c r="S24">
        <v>1.5811214200000001</v>
      </c>
      <c r="T24">
        <v>0.82830497999999997</v>
      </c>
      <c r="U24">
        <v>7.1266579999999996E-2</v>
      </c>
      <c r="V24">
        <v>0.11709134</v>
      </c>
      <c r="W24">
        <v>1.2882499999999999E-3</v>
      </c>
      <c r="X24">
        <v>357.53082589000002</v>
      </c>
      <c r="Y24">
        <v>726.4732252</v>
      </c>
      <c r="Z24">
        <v>9.3342999999999996E-4</v>
      </c>
      <c r="AA24">
        <v>3.2032980000000003E-2</v>
      </c>
      <c r="AB24">
        <v>9.4968360000000002E-2</v>
      </c>
      <c r="AC24">
        <v>174.79548009000001</v>
      </c>
      <c r="AD24">
        <v>46.16165093</v>
      </c>
      <c r="AE24">
        <v>1.6268987699999999</v>
      </c>
      <c r="AF24">
        <v>0.54904776</v>
      </c>
      <c r="AG24">
        <v>0.55902940000000001</v>
      </c>
      <c r="AH24">
        <v>0.82098362000000003</v>
      </c>
      <c r="AI24">
        <v>0.15794437</v>
      </c>
      <c r="AJ24">
        <v>5.2512630199999997</v>
      </c>
      <c r="AK24">
        <v>2.5153525600000002</v>
      </c>
      <c r="AL24">
        <v>2.0860670000000001E-2</v>
      </c>
      <c r="AM24">
        <v>0.48237391000000002</v>
      </c>
      <c r="AN24">
        <v>1.64714037</v>
      </c>
      <c r="AO24">
        <v>13.05039949</v>
      </c>
      <c r="AP24">
        <v>1.9138329999999999E-2</v>
      </c>
      <c r="AQ24">
        <v>0.75906558999999996</v>
      </c>
      <c r="AR24">
        <v>1.09677661</v>
      </c>
      <c r="AS24">
        <v>3.6467206600000002</v>
      </c>
      <c r="AT24" s="4">
        <v>0</v>
      </c>
      <c r="AU24" s="1">
        <v>18.67398902</v>
      </c>
      <c r="AV24" s="1">
        <v>404.23562107999999</v>
      </c>
      <c r="AW24" s="1">
        <v>385.56163144999999</v>
      </c>
      <c r="AX24" s="1">
        <v>6.0999999999999998E-7</v>
      </c>
      <c r="AY24" s="4">
        <v>2113.9289425799998</v>
      </c>
      <c r="AZ24">
        <f t="shared" si="38"/>
        <v>2113.9289425800002</v>
      </c>
      <c r="BB24" s="18"/>
      <c r="BC24" s="4" t="s">
        <v>21</v>
      </c>
      <c r="BD24">
        <f t="shared" si="39"/>
        <v>1.1296341536549861E-3</v>
      </c>
      <c r="BE24">
        <f t="shared" si="39"/>
        <v>1.7698326553483554E-2</v>
      </c>
      <c r="BF24">
        <f t="shared" si="0"/>
        <v>1.5494253806977644E-3</v>
      </c>
      <c r="BG24">
        <f t="shared" si="1"/>
        <v>1.4950211262826834E-4</v>
      </c>
      <c r="BH24">
        <f t="shared" si="2"/>
        <v>4.1370839657770068E-4</v>
      </c>
      <c r="BI24">
        <f t="shared" si="3"/>
        <v>9.5516173248959271E-5</v>
      </c>
      <c r="BJ24">
        <f t="shared" si="4"/>
        <v>2.7980226034997854E-5</v>
      </c>
      <c r="BK24">
        <f t="shared" si="5"/>
        <v>2.0182599691958999E-3</v>
      </c>
      <c r="BL24">
        <f t="shared" si="6"/>
        <v>5.2621376321994198E-4</v>
      </c>
      <c r="BM24">
        <f>M24/M$92</f>
        <v>3.7054513044611492E-3</v>
      </c>
      <c r="BN24">
        <f t="shared" si="7"/>
        <v>5.7477465182159309E-3</v>
      </c>
      <c r="BO24">
        <f t="shared" si="8"/>
        <v>5.4766265707741745E-3</v>
      </c>
      <c r="BP24">
        <f t="shared" si="9"/>
        <v>1.5559208561550623E-3</v>
      </c>
      <c r="BQ24">
        <f t="shared" si="10"/>
        <v>1.2575323434328351E-3</v>
      </c>
      <c r="BR24">
        <f t="shared" si="11"/>
        <v>1.1698217762596257E-3</v>
      </c>
      <c r="BS24">
        <f t="shared" si="12"/>
        <v>1.3898263315359699E-4</v>
      </c>
      <c r="BT24">
        <f t="shared" si="13"/>
        <v>5.4171280011643714E-5</v>
      </c>
      <c r="BU24">
        <f t="shared" si="14"/>
        <v>5.3264053585673215E-5</v>
      </c>
      <c r="BV24">
        <f t="shared" si="15"/>
        <v>6.5503705164699812E-5</v>
      </c>
      <c r="BW24">
        <f t="shared" si="16"/>
        <v>2.606810141821201E-6</v>
      </c>
      <c r="BX24">
        <f t="shared" si="17"/>
        <v>3.5690354262222876E-2</v>
      </c>
      <c r="BY24">
        <f t="shared" si="18"/>
        <v>0.34366019149169219</v>
      </c>
      <c r="BZ24">
        <f t="shared" si="19"/>
        <v>1.5696782154672277E-6</v>
      </c>
      <c r="CA24">
        <f t="shared" si="20"/>
        <v>1.037635233135794E-6</v>
      </c>
      <c r="CB24">
        <f t="shared" si="21"/>
        <v>5.1533656189765334E-6</v>
      </c>
      <c r="CC24">
        <f t="shared" si="22"/>
        <v>1.1004355211606011E-2</v>
      </c>
      <c r="CD24">
        <f t="shared" si="23"/>
        <v>7.1117033505590146E-3</v>
      </c>
      <c r="CE24">
        <f t="shared" si="24"/>
        <v>1.0182051853479827E-4</v>
      </c>
      <c r="CF24">
        <f t="shared" si="25"/>
        <v>1.4816715595384589E-4</v>
      </c>
      <c r="CG24">
        <f t="shared" si="26"/>
        <v>3.3951987813421979E-4</v>
      </c>
      <c r="CH24">
        <f t="shared" si="27"/>
        <v>4.8981922400285341E-5</v>
      </c>
      <c r="CI24">
        <f t="shared" si="28"/>
        <v>1.2424084193915235E-5</v>
      </c>
      <c r="CJ24">
        <f t="shared" si="29"/>
        <v>4.2569029619379838E-4</v>
      </c>
      <c r="CK24">
        <f t="shared" si="30"/>
        <v>1.7078905574890096E-4</v>
      </c>
      <c r="CL24">
        <f t="shared" si="31"/>
        <v>6.8232522630248652E-6</v>
      </c>
      <c r="CM24">
        <f t="shared" si="32"/>
        <v>7.0995709485563853E-5</v>
      </c>
      <c r="CN24">
        <f t="shared" si="33"/>
        <v>1.0946870742113066E-3</v>
      </c>
      <c r="CO24">
        <f t="shared" si="34"/>
        <v>2.6497712655437736E-3</v>
      </c>
      <c r="CP24">
        <f t="shared" si="35"/>
        <v>3.0150619633199302E-6</v>
      </c>
      <c r="CQ24">
        <f t="shared" si="36"/>
        <v>1.205378863129551E-4</v>
      </c>
      <c r="CR24">
        <f t="shared" si="37"/>
        <v>4.7594936574974758E-4</v>
      </c>
      <c r="CS24" s="25">
        <f t="shared" si="40"/>
        <v>3.6438318163659452E-4</v>
      </c>
    </row>
    <row r="25" spans="1:97" x14ac:dyDescent="0.25">
      <c r="A25" s="14"/>
      <c r="B25" s="11"/>
      <c r="C25" t="s">
        <v>22</v>
      </c>
      <c r="D25">
        <v>1.11113569</v>
      </c>
      <c r="E25">
        <v>9.8438639899999991</v>
      </c>
      <c r="F25">
        <v>1.0275364499999999</v>
      </c>
      <c r="G25">
        <v>13.26787852</v>
      </c>
      <c r="H25">
        <v>5.2801082199999998</v>
      </c>
      <c r="I25">
        <v>4.2963646200000003</v>
      </c>
      <c r="J25">
        <v>3.3870782099999999</v>
      </c>
      <c r="K25">
        <v>5.5728688699999998</v>
      </c>
      <c r="L25">
        <v>5.6821529599999998</v>
      </c>
      <c r="M25">
        <v>23.596686680000001</v>
      </c>
      <c r="N25">
        <v>16.254584810000001</v>
      </c>
      <c r="O25">
        <v>8.18101156</v>
      </c>
      <c r="P25">
        <v>8.2978202499999991</v>
      </c>
      <c r="Q25">
        <v>5.5574154800000004</v>
      </c>
      <c r="R25">
        <v>12.138168159999999</v>
      </c>
      <c r="S25">
        <v>12.03312247</v>
      </c>
      <c r="T25">
        <v>17.184406119999998</v>
      </c>
      <c r="U25">
        <v>1.364619</v>
      </c>
      <c r="V25">
        <v>2.2626066499999999</v>
      </c>
      <c r="W25">
        <v>0.54883941999999997</v>
      </c>
      <c r="X25">
        <v>8.1157682199999996</v>
      </c>
      <c r="Y25">
        <v>1.0684358</v>
      </c>
      <c r="Z25">
        <v>23.35110633</v>
      </c>
      <c r="AA25">
        <v>33.26670137</v>
      </c>
      <c r="AB25">
        <v>30.14744907</v>
      </c>
      <c r="AC25">
        <v>11.063286659999999</v>
      </c>
      <c r="AD25">
        <v>10.958021390000001</v>
      </c>
      <c r="AE25">
        <v>21.402552849999999</v>
      </c>
      <c r="AF25">
        <v>4.9122045600000002</v>
      </c>
      <c r="AG25">
        <v>1.30114913</v>
      </c>
      <c r="AH25">
        <v>8.1992495999999999</v>
      </c>
      <c r="AI25">
        <v>6.7946610400000003</v>
      </c>
      <c r="AJ25">
        <v>11.324541610000001</v>
      </c>
      <c r="AK25">
        <v>9.2490668500000002</v>
      </c>
      <c r="AL25">
        <v>1.6687171700000001</v>
      </c>
      <c r="AM25">
        <v>3.9695175100000002</v>
      </c>
      <c r="AN25">
        <v>2.8895722799999999</v>
      </c>
      <c r="AO25">
        <v>14.81871666</v>
      </c>
      <c r="AP25">
        <v>17.276191879999999</v>
      </c>
      <c r="AQ25">
        <v>8.1792300000000004</v>
      </c>
      <c r="AR25">
        <v>3.1560486700000001</v>
      </c>
      <c r="AS25">
        <v>15.034019969999999</v>
      </c>
      <c r="AT25" s="4">
        <v>0</v>
      </c>
      <c r="AU25" s="1">
        <v>-5.6221103100000001</v>
      </c>
      <c r="AV25" s="1">
        <v>189.62880565</v>
      </c>
      <c r="AW25" s="1">
        <v>195.25091595999999</v>
      </c>
      <c r="AX25" s="1">
        <v>0</v>
      </c>
      <c r="AY25" s="4">
        <v>594.66328242999998</v>
      </c>
      <c r="AZ25">
        <f t="shared" si="38"/>
        <v>594.66328240000007</v>
      </c>
      <c r="BB25" s="18"/>
      <c r="BC25" s="4" t="s">
        <v>22</v>
      </c>
      <c r="BD25">
        <f t="shared" si="39"/>
        <v>9.2364031705333919E-4</v>
      </c>
      <c r="BE25">
        <f t="shared" si="39"/>
        <v>1.3404726903085257E-3</v>
      </c>
      <c r="BF25">
        <f t="shared" si="0"/>
        <v>1.2111065747079173E-3</v>
      </c>
      <c r="BG25">
        <f t="shared" si="1"/>
        <v>1.1566298691490986E-3</v>
      </c>
      <c r="BH25">
        <f t="shared" si="2"/>
        <v>1.7239098316918105E-3</v>
      </c>
      <c r="BI25">
        <f t="shared" si="3"/>
        <v>1.280087142212303E-3</v>
      </c>
      <c r="BJ25">
        <f t="shared" si="4"/>
        <v>1.1620704418044724E-3</v>
      </c>
      <c r="BK25">
        <f t="shared" si="5"/>
        <v>1.2280696495685008E-3</v>
      </c>
      <c r="BL25">
        <f t="shared" si="6"/>
        <v>1.0068209861443839E-3</v>
      </c>
      <c r="BM25">
        <f>M25/M$92</f>
        <v>1.3181599016489247E-3</v>
      </c>
      <c r="BN25">
        <f t="shared" si="7"/>
        <v>1.0684189632732179E-3</v>
      </c>
      <c r="BO25">
        <f t="shared" si="8"/>
        <v>1.2276198237716957E-3</v>
      </c>
      <c r="BP25">
        <f t="shared" si="9"/>
        <v>1.2185423525361003E-3</v>
      </c>
      <c r="BQ25">
        <f t="shared" si="10"/>
        <v>1.0973338391554561E-3</v>
      </c>
      <c r="BR25">
        <f t="shared" si="11"/>
        <v>9.8542649466951322E-4</v>
      </c>
      <c r="BS25">
        <f t="shared" si="12"/>
        <v>1.0577271452943283E-3</v>
      </c>
      <c r="BT25">
        <f t="shared" si="13"/>
        <v>1.1238629469067347E-3</v>
      </c>
      <c r="BU25">
        <f t="shared" si="14"/>
        <v>1.0199049756565814E-3</v>
      </c>
      <c r="BV25">
        <f t="shared" si="15"/>
        <v>1.2657564505222088E-3</v>
      </c>
      <c r="BW25">
        <f t="shared" si="16"/>
        <v>1.1105920173004199E-3</v>
      </c>
      <c r="BX25">
        <f t="shared" si="17"/>
        <v>8.1015292083096288E-4</v>
      </c>
      <c r="BY25">
        <f t="shared" si="18"/>
        <v>5.0542654414206941E-4</v>
      </c>
      <c r="BZ25">
        <f t="shared" si="19"/>
        <v>3.9267778958529176E-2</v>
      </c>
      <c r="CA25">
        <f t="shared" si="20"/>
        <v>1.0775988194579084E-3</v>
      </c>
      <c r="CB25">
        <f t="shared" si="21"/>
        <v>1.6359219800908857E-3</v>
      </c>
      <c r="CC25">
        <f t="shared" si="22"/>
        <v>6.9649590568233001E-4</v>
      </c>
      <c r="CD25">
        <f t="shared" si="23"/>
        <v>1.6882021302256826E-3</v>
      </c>
      <c r="CE25">
        <f t="shared" si="24"/>
        <v>1.3394927019063543E-3</v>
      </c>
      <c r="CF25">
        <f t="shared" si="25"/>
        <v>1.3256176095112616E-3</v>
      </c>
      <c r="CG25">
        <f t="shared" si="26"/>
        <v>7.9023749744118303E-4</v>
      </c>
      <c r="CH25">
        <f t="shared" si="27"/>
        <v>4.8918760114577018E-4</v>
      </c>
      <c r="CI25">
        <f t="shared" si="28"/>
        <v>5.3447578302459056E-4</v>
      </c>
      <c r="CJ25">
        <f t="shared" si="29"/>
        <v>9.1801676165515985E-4</v>
      </c>
      <c r="CK25">
        <f t="shared" si="30"/>
        <v>6.2799919939253435E-4</v>
      </c>
      <c r="CL25">
        <f t="shared" si="31"/>
        <v>5.4581555657373171E-4</v>
      </c>
      <c r="CM25">
        <f t="shared" si="32"/>
        <v>5.8423290749248606E-4</v>
      </c>
      <c r="CN25">
        <f t="shared" si="33"/>
        <v>1.9204054994507202E-3</v>
      </c>
      <c r="CO25">
        <f t="shared" si="34"/>
        <v>3.0088128434681964E-3</v>
      </c>
      <c r="CP25">
        <f t="shared" si="35"/>
        <v>2.7216998039225281E-3</v>
      </c>
      <c r="CQ25">
        <f t="shared" si="36"/>
        <v>1.298843089261248E-3</v>
      </c>
      <c r="CR25">
        <f t="shared" si="37"/>
        <v>1.3695764014896655E-3</v>
      </c>
      <c r="CS25" s="25">
        <f t="shared" si="40"/>
        <v>1.5022110384118915E-3</v>
      </c>
    </row>
    <row r="26" spans="1:97" x14ac:dyDescent="0.25">
      <c r="A26" s="14"/>
      <c r="B26" s="11"/>
      <c r="C26" t="s">
        <v>23</v>
      </c>
      <c r="D26">
        <v>2.47967447</v>
      </c>
      <c r="E26">
        <v>4.8228894699999998</v>
      </c>
      <c r="F26">
        <v>2.6045045500000001</v>
      </c>
      <c r="G26">
        <v>6.3575115000000002</v>
      </c>
      <c r="H26">
        <v>2.2491551900000002</v>
      </c>
      <c r="I26">
        <v>2.1807673699999999</v>
      </c>
      <c r="J26">
        <v>2.6581560299999998</v>
      </c>
      <c r="K26">
        <v>3.9757265099999999</v>
      </c>
      <c r="L26">
        <v>1.1517339499999999</v>
      </c>
      <c r="M26">
        <v>14.21640691</v>
      </c>
      <c r="N26">
        <v>4.3253636699999998</v>
      </c>
      <c r="O26">
        <v>3.5539837799999998</v>
      </c>
      <c r="P26">
        <v>5.5051692399999999</v>
      </c>
      <c r="Q26">
        <v>3.88841262</v>
      </c>
      <c r="R26">
        <v>8.6450949399999999</v>
      </c>
      <c r="S26">
        <v>6.4005976200000001</v>
      </c>
      <c r="T26">
        <v>21.080783950000001</v>
      </c>
      <c r="U26">
        <v>1.12848759</v>
      </c>
      <c r="V26">
        <v>1.3068070300000001</v>
      </c>
      <c r="W26">
        <v>1.1888306500000001</v>
      </c>
      <c r="X26">
        <v>19.094496970000002</v>
      </c>
      <c r="Y26">
        <v>1.0023252600000001</v>
      </c>
      <c r="Z26">
        <v>1.8424959000000001</v>
      </c>
      <c r="AA26">
        <v>1003.22227274</v>
      </c>
      <c r="AB26">
        <v>26.326451939999998</v>
      </c>
      <c r="AC26">
        <v>18.028077320000001</v>
      </c>
      <c r="AD26">
        <v>12.191972959999999</v>
      </c>
      <c r="AE26">
        <v>5.1585307599999997</v>
      </c>
      <c r="AF26">
        <v>9.9403742099999999</v>
      </c>
      <c r="AG26">
        <v>2.8968071599999998</v>
      </c>
      <c r="AH26">
        <v>3.3438245100000001</v>
      </c>
      <c r="AI26">
        <v>7.9815148599999999</v>
      </c>
      <c r="AJ26">
        <v>594.74729795999997</v>
      </c>
      <c r="AK26">
        <v>7.7817767499999997</v>
      </c>
      <c r="AL26">
        <v>1.5090819600000001</v>
      </c>
      <c r="AM26">
        <v>3.0529419999999998</v>
      </c>
      <c r="AN26">
        <v>5.8324770900000003</v>
      </c>
      <c r="AO26">
        <v>16.988669529999999</v>
      </c>
      <c r="AP26">
        <v>14.215460309999999</v>
      </c>
      <c r="AQ26">
        <v>8.0026057799999997</v>
      </c>
      <c r="AR26">
        <v>13.26098515</v>
      </c>
      <c r="AS26">
        <v>67.109420990000004</v>
      </c>
      <c r="AT26" s="4">
        <v>28817.692879179998</v>
      </c>
      <c r="AU26" s="1">
        <v>0</v>
      </c>
      <c r="AV26" s="1">
        <v>28927.887622319999</v>
      </c>
      <c r="AW26" s="1">
        <v>0</v>
      </c>
      <c r="AX26" s="1">
        <v>110.19474314</v>
      </c>
      <c r="AY26" s="4">
        <v>30871.137541510001</v>
      </c>
      <c r="AZ26">
        <f t="shared" si="38"/>
        <v>30871.137541469998</v>
      </c>
      <c r="BB26" s="18"/>
      <c r="BC26" s="4" t="s">
        <v>23</v>
      </c>
      <c r="BD26">
        <f t="shared" si="39"/>
        <v>2.0612489854050773E-3</v>
      </c>
      <c r="BE26">
        <f t="shared" si="39"/>
        <v>6.5674938514784979E-4</v>
      </c>
      <c r="BF26">
        <f t="shared" si="0"/>
        <v>3.0698011582573894E-3</v>
      </c>
      <c r="BG26">
        <f t="shared" si="1"/>
        <v>5.542172912779194E-4</v>
      </c>
      <c r="BH26">
        <f t="shared" si="2"/>
        <v>7.3432978709698918E-4</v>
      </c>
      <c r="BI26">
        <f t="shared" si="3"/>
        <v>6.4975217827139154E-4</v>
      </c>
      <c r="BJ26">
        <f t="shared" si="4"/>
        <v>9.1198500909942751E-4</v>
      </c>
      <c r="BK26">
        <f t="shared" si="5"/>
        <v>8.7611411210468664E-4</v>
      </c>
      <c r="BL26">
        <f t="shared" si="6"/>
        <v>2.0407580004938244E-4</v>
      </c>
      <c r="BM26">
        <f>M26/M$92</f>
        <v>7.9415800143542415E-4</v>
      </c>
      <c r="BN26">
        <f t="shared" si="7"/>
        <v>2.8430751213269782E-4</v>
      </c>
      <c r="BO26">
        <f t="shared" si="8"/>
        <v>5.3330091391425255E-4</v>
      </c>
      <c r="BP26">
        <f t="shared" si="9"/>
        <v>8.0843904479841865E-4</v>
      </c>
      <c r="BQ26">
        <f t="shared" si="10"/>
        <v>7.6778257157140333E-4</v>
      </c>
      <c r="BR26">
        <f t="shared" si="11"/>
        <v>7.0184442088083135E-4</v>
      </c>
      <c r="BS26">
        <f t="shared" si="12"/>
        <v>5.626208713207148E-4</v>
      </c>
      <c r="BT26">
        <f t="shared" si="13"/>
        <v>1.378686688833399E-3</v>
      </c>
      <c r="BU26">
        <f t="shared" si="14"/>
        <v>8.4342230908971967E-4</v>
      </c>
      <c r="BV26">
        <f t="shared" si="15"/>
        <v>7.3105920899254391E-4</v>
      </c>
      <c r="BW26">
        <f t="shared" si="16"/>
        <v>2.4056322882421047E-3</v>
      </c>
      <c r="BX26">
        <f t="shared" si="17"/>
        <v>1.9060995918934059E-3</v>
      </c>
      <c r="BY26">
        <f t="shared" si="18"/>
        <v>4.7415276825065323E-4</v>
      </c>
      <c r="BZ26">
        <f t="shared" si="19"/>
        <v>3.0983851775898395E-3</v>
      </c>
      <c r="CA26">
        <f t="shared" si="20"/>
        <v>3.2497094458947967E-2</v>
      </c>
      <c r="CB26">
        <f t="shared" si="21"/>
        <v>1.4285792899575611E-3</v>
      </c>
      <c r="CC26">
        <f t="shared" si="22"/>
        <v>1.1349685158302202E-3</v>
      </c>
      <c r="CD26">
        <f t="shared" si="23"/>
        <v>1.8783057625265246E-3</v>
      </c>
      <c r="CE26">
        <f t="shared" si="24"/>
        <v>3.2285000551134904E-4</v>
      </c>
      <c r="CF26">
        <f t="shared" si="25"/>
        <v>2.682529796338041E-3</v>
      </c>
      <c r="CG26">
        <f t="shared" si="26"/>
        <v>1.7593414835454723E-3</v>
      </c>
      <c r="CH26">
        <f t="shared" si="27"/>
        <v>1.9950087758022767E-4</v>
      </c>
      <c r="CI26">
        <f t="shared" si="28"/>
        <v>6.2783505746754741E-4</v>
      </c>
      <c r="CJ26">
        <f t="shared" si="29"/>
        <v>4.8212811368388411E-2</v>
      </c>
      <c r="CK26">
        <f t="shared" si="30"/>
        <v>5.2837217506449712E-4</v>
      </c>
      <c r="CL26">
        <f t="shared" si="31"/>
        <v>4.936009676899159E-4</v>
      </c>
      <c r="CM26">
        <f t="shared" si="32"/>
        <v>4.4933148085947732E-4</v>
      </c>
      <c r="CN26">
        <f t="shared" si="33"/>
        <v>3.8762557201221263E-3</v>
      </c>
      <c r="CO26">
        <f t="shared" si="34"/>
        <v>3.4494030925955235E-3</v>
      </c>
      <c r="CP26">
        <f t="shared" si="35"/>
        <v>2.2395106402578044E-3</v>
      </c>
      <c r="CQ26">
        <f t="shared" si="36"/>
        <v>1.2707955655281876E-3</v>
      </c>
      <c r="CR26">
        <f t="shared" si="37"/>
        <v>5.754642662701679E-3</v>
      </c>
      <c r="CS26" s="25">
        <f t="shared" si="40"/>
        <v>6.7056258534827998E-3</v>
      </c>
    </row>
    <row r="27" spans="1:97" x14ac:dyDescent="0.25">
      <c r="A27" s="14"/>
      <c r="B27" s="11"/>
      <c r="C27" t="s">
        <v>24</v>
      </c>
      <c r="D27">
        <v>20.702505429999999</v>
      </c>
      <c r="E27">
        <v>323.29389981000003</v>
      </c>
      <c r="F27">
        <v>33.672714740000004</v>
      </c>
      <c r="G27">
        <v>489.27583033000002</v>
      </c>
      <c r="H27">
        <v>147.72136732999999</v>
      </c>
      <c r="I27">
        <v>262.22228044000002</v>
      </c>
      <c r="J27">
        <v>293.08576338</v>
      </c>
      <c r="K27">
        <v>256.60422155999998</v>
      </c>
      <c r="L27">
        <v>84.077669180000001</v>
      </c>
      <c r="M27">
        <v>792.85460469999998</v>
      </c>
      <c r="N27">
        <v>301.83676417999999</v>
      </c>
      <c r="O27">
        <v>230.60582267999999</v>
      </c>
      <c r="P27">
        <v>288.76040221</v>
      </c>
      <c r="Q27">
        <v>229.81327793</v>
      </c>
      <c r="R27">
        <v>715.11043479</v>
      </c>
      <c r="S27">
        <v>620.72753703000001</v>
      </c>
      <c r="T27">
        <v>977.29609621999998</v>
      </c>
      <c r="U27">
        <v>72.596425510000003</v>
      </c>
      <c r="V27">
        <v>26.652734500000001</v>
      </c>
      <c r="W27">
        <v>18.318070299999999</v>
      </c>
      <c r="X27">
        <v>92.630081129999994</v>
      </c>
      <c r="Y27">
        <v>26.713608059999999</v>
      </c>
      <c r="Z27">
        <v>9.4801751200000002</v>
      </c>
      <c r="AA27">
        <v>1275.46422493</v>
      </c>
      <c r="AB27">
        <v>250.15051077000001</v>
      </c>
      <c r="AC27">
        <v>586.83952485999998</v>
      </c>
      <c r="AD27">
        <v>342.21179840000002</v>
      </c>
      <c r="AE27">
        <v>362.02867569</v>
      </c>
      <c r="AF27">
        <v>60.020023369999997</v>
      </c>
      <c r="AG27">
        <v>7.4727597000000001</v>
      </c>
      <c r="AH27">
        <v>359.37267194999998</v>
      </c>
      <c r="AI27">
        <v>66.715125029999996</v>
      </c>
      <c r="AJ27">
        <v>92.812544110000005</v>
      </c>
      <c r="AK27">
        <v>479.11549341</v>
      </c>
      <c r="AL27">
        <v>34.989608769999997</v>
      </c>
      <c r="AM27">
        <v>239.74158736999999</v>
      </c>
      <c r="AN27">
        <v>34.084796429999997</v>
      </c>
      <c r="AO27">
        <v>162.51460084000001</v>
      </c>
      <c r="AP27">
        <v>79.61321615</v>
      </c>
      <c r="AQ27">
        <v>431.51471365999998</v>
      </c>
      <c r="AR27">
        <v>111.42677767000001</v>
      </c>
      <c r="AS27">
        <v>163.32094049</v>
      </c>
      <c r="AT27" s="4">
        <v>1241.85530554</v>
      </c>
      <c r="AU27" s="1">
        <v>85.718029599999994</v>
      </c>
      <c r="AV27" s="1">
        <v>6974.9530667899999</v>
      </c>
      <c r="AW27" s="1">
        <v>3046.3048826200002</v>
      </c>
      <c r="AX27" s="1">
        <v>2601.0748490199999</v>
      </c>
      <c r="AY27" s="4">
        <v>18428.414946950001</v>
      </c>
      <c r="AZ27">
        <f t="shared" si="38"/>
        <v>18428.414946950001</v>
      </c>
      <c r="BB27" s="18"/>
      <c r="BC27" s="4" t="s">
        <v>24</v>
      </c>
      <c r="BD27">
        <f t="shared" si="39"/>
        <v>1.7209121128278829E-2</v>
      </c>
      <c r="BE27">
        <f t="shared" si="39"/>
        <v>4.4024038129629392E-2</v>
      </c>
      <c r="BF27">
        <f t="shared" si="0"/>
        <v>3.9688369410037193E-2</v>
      </c>
      <c r="BG27">
        <f t="shared" si="1"/>
        <v>4.2652714882741062E-2</v>
      </c>
      <c r="BH27">
        <f t="shared" si="2"/>
        <v>4.8229753421823694E-2</v>
      </c>
      <c r="BI27">
        <f t="shared" si="3"/>
        <v>7.8128231489075217E-2</v>
      </c>
      <c r="BJ27">
        <f t="shared" si="4"/>
        <v>0.10055460235079654</v>
      </c>
      <c r="BK27">
        <f t="shared" si="5"/>
        <v>5.6546791930703923E-2</v>
      </c>
      <c r="BL27">
        <f t="shared" si="6"/>
        <v>1.4897726687830818E-2</v>
      </c>
      <c r="BM27">
        <f>M27/M$92</f>
        <v>4.4290504083315189E-2</v>
      </c>
      <c r="BN27">
        <f t="shared" si="7"/>
        <v>1.9839825282066882E-2</v>
      </c>
      <c r="BO27">
        <f t="shared" si="8"/>
        <v>3.4604067886092625E-2</v>
      </c>
      <c r="BP27">
        <f t="shared" si="9"/>
        <v>4.2404724280240218E-2</v>
      </c>
      <c r="BQ27">
        <f t="shared" si="10"/>
        <v>4.5377547794901725E-2</v>
      </c>
      <c r="BR27">
        <f t="shared" si="11"/>
        <v>5.805561100882798E-2</v>
      </c>
      <c r="BS27">
        <f t="shared" si="12"/>
        <v>5.4562759365676214E-2</v>
      </c>
      <c r="BT27">
        <f t="shared" si="13"/>
        <v>6.3915323173138375E-2</v>
      </c>
      <c r="BU27">
        <f t="shared" si="14"/>
        <v>5.4257969141959309E-2</v>
      </c>
      <c r="BV27">
        <f t="shared" si="15"/>
        <v>1.4910179203013843E-2</v>
      </c>
      <c r="BW27">
        <f t="shared" si="16"/>
        <v>3.7067130942467483E-2</v>
      </c>
      <c r="BX27">
        <f t="shared" si="17"/>
        <v>9.2467562835694874E-3</v>
      </c>
      <c r="BY27">
        <f t="shared" si="18"/>
        <v>1.2636947024174528E-2</v>
      </c>
      <c r="BZ27">
        <f t="shared" si="19"/>
        <v>1.5942089245769273E-2</v>
      </c>
      <c r="CA27">
        <f t="shared" si="20"/>
        <v>4.1315750779090971E-2</v>
      </c>
      <c r="CB27">
        <f t="shared" si="21"/>
        <v>1.3574173985646767E-2</v>
      </c>
      <c r="CC27">
        <f t="shared" si="22"/>
        <v>3.6944837363325982E-2</v>
      </c>
      <c r="CD27">
        <f t="shared" si="23"/>
        <v>5.2721441808322826E-2</v>
      </c>
      <c r="CE27">
        <f t="shared" si="24"/>
        <v>2.2657800327196827E-2</v>
      </c>
      <c r="CF27">
        <f t="shared" si="25"/>
        <v>1.6197126754540013E-2</v>
      </c>
      <c r="CG27">
        <f t="shared" si="26"/>
        <v>4.5384920053762982E-3</v>
      </c>
      <c r="CH27">
        <f t="shared" si="27"/>
        <v>2.1441066424977027E-2</v>
      </c>
      <c r="CI27">
        <f t="shared" si="28"/>
        <v>5.2478877872019223E-3</v>
      </c>
      <c r="CJ27">
        <f t="shared" si="29"/>
        <v>7.5237898467873507E-3</v>
      </c>
      <c r="CK27">
        <f t="shared" si="30"/>
        <v>3.2531297606313556E-2</v>
      </c>
      <c r="CL27">
        <f t="shared" si="31"/>
        <v>1.1444643303511207E-2</v>
      </c>
      <c r="CM27">
        <f t="shared" si="32"/>
        <v>3.5285125782462907E-2</v>
      </c>
      <c r="CN27">
        <f t="shared" si="33"/>
        <v>2.2652705718726743E-2</v>
      </c>
      <c r="CO27">
        <f t="shared" si="34"/>
        <v>3.2997190612219951E-2</v>
      </c>
      <c r="CP27">
        <f t="shared" si="35"/>
        <v>1.2542305404464915E-2</v>
      </c>
      <c r="CQ27">
        <f t="shared" si="36"/>
        <v>6.8523553409286342E-2</v>
      </c>
      <c r="CR27">
        <f t="shared" si="37"/>
        <v>4.835397078679006E-2</v>
      </c>
      <c r="CS27" s="25">
        <f t="shared" si="40"/>
        <v>1.6319156160326004E-2</v>
      </c>
    </row>
    <row r="28" spans="1:97" x14ac:dyDescent="0.25">
      <c r="A28" s="14"/>
      <c r="B28" s="11"/>
      <c r="C28" t="s">
        <v>25</v>
      </c>
      <c r="D28">
        <v>32.326498239999999</v>
      </c>
      <c r="E28">
        <v>464.13027920000002</v>
      </c>
      <c r="F28">
        <v>37.601079339999998</v>
      </c>
      <c r="G28">
        <v>331.08659204999998</v>
      </c>
      <c r="H28">
        <v>108.76086492</v>
      </c>
      <c r="I28">
        <v>112.84427753</v>
      </c>
      <c r="J28">
        <v>135.99101317</v>
      </c>
      <c r="K28">
        <v>196.34615782</v>
      </c>
      <c r="L28">
        <v>159.90794958999999</v>
      </c>
      <c r="M28">
        <v>718.43083149999995</v>
      </c>
      <c r="N28">
        <v>692.16663805999997</v>
      </c>
      <c r="O28">
        <v>266.88554988999999</v>
      </c>
      <c r="P28">
        <v>260.17735885000002</v>
      </c>
      <c r="Q28">
        <v>179.48315459</v>
      </c>
      <c r="R28">
        <v>359.36042388999999</v>
      </c>
      <c r="S28">
        <v>436.76960880000001</v>
      </c>
      <c r="T28">
        <v>310.02195518000002</v>
      </c>
      <c r="U28">
        <v>35.000078270000003</v>
      </c>
      <c r="V28">
        <v>30.209712769999999</v>
      </c>
      <c r="W28">
        <v>13.712516989999999</v>
      </c>
      <c r="X28">
        <v>197.04177272000001</v>
      </c>
      <c r="Y28">
        <v>88.795861560000006</v>
      </c>
      <c r="Z28">
        <v>6.3763260199999996</v>
      </c>
      <c r="AA28">
        <v>1186.6789724499999</v>
      </c>
      <c r="AB28">
        <v>1152.0038844400001</v>
      </c>
      <c r="AC28">
        <v>2378.3150776799998</v>
      </c>
      <c r="AD28">
        <v>175.06101228</v>
      </c>
      <c r="AE28">
        <v>261.29290281999999</v>
      </c>
      <c r="AF28">
        <v>118.16454767</v>
      </c>
      <c r="AG28">
        <v>18.0945584</v>
      </c>
      <c r="AH28">
        <v>155.1487046</v>
      </c>
      <c r="AI28">
        <v>150.37135597</v>
      </c>
      <c r="AJ28">
        <v>53.915199190000003</v>
      </c>
      <c r="AK28">
        <v>571.14385359000005</v>
      </c>
      <c r="AL28">
        <v>20.140385370000001</v>
      </c>
      <c r="AM28">
        <v>281.29920256999998</v>
      </c>
      <c r="AN28">
        <v>37.32970564</v>
      </c>
      <c r="AO28">
        <v>100.44179162</v>
      </c>
      <c r="AP28">
        <v>110.04507078</v>
      </c>
      <c r="AQ28">
        <v>158.83368639</v>
      </c>
      <c r="AR28">
        <v>60.304535620000003</v>
      </c>
      <c r="AS28">
        <v>222.68605540999999</v>
      </c>
      <c r="AT28" s="4">
        <v>429.6376879</v>
      </c>
      <c r="AU28" s="1">
        <v>41.896685929999997</v>
      </c>
      <c r="AV28" s="1">
        <v>3499.5121782299998</v>
      </c>
      <c r="AW28" s="1">
        <v>1521.97278742</v>
      </c>
      <c r="AX28" s="1">
        <v>1506.0050169799999</v>
      </c>
      <c r="AY28" s="4">
        <v>15884.20918168</v>
      </c>
      <c r="AZ28">
        <f t="shared" si="38"/>
        <v>15884.209181670001</v>
      </c>
      <c r="BB28" s="18"/>
      <c r="BC28" s="4" t="s">
        <v>25</v>
      </c>
      <c r="BD28">
        <f t="shared" si="39"/>
        <v>2.6871656947332696E-2</v>
      </c>
      <c r="BE28">
        <f t="shared" si="39"/>
        <v>6.3202210498326E-2</v>
      </c>
      <c r="BF28">
        <f t="shared" si="0"/>
        <v>4.4318539166944435E-2</v>
      </c>
      <c r="BG28">
        <f t="shared" si="1"/>
        <v>2.8862537523430116E-2</v>
      </c>
      <c r="BH28">
        <f t="shared" si="2"/>
        <v>3.5509485133032551E-2</v>
      </c>
      <c r="BI28">
        <f t="shared" si="3"/>
        <v>3.3621566490413396E-2</v>
      </c>
      <c r="BJ28">
        <f t="shared" si="4"/>
        <v>4.6657067524844595E-2</v>
      </c>
      <c r="BK28">
        <f t="shared" si="5"/>
        <v>4.3267976127370988E-2</v>
      </c>
      <c r="BL28">
        <f t="shared" si="6"/>
        <v>2.8334098119479387E-2</v>
      </c>
      <c r="BM28">
        <f>M28/M$92</f>
        <v>4.0133037618126949E-2</v>
      </c>
      <c r="BN28">
        <f t="shared" si="7"/>
        <v>4.5496330450311498E-2</v>
      </c>
      <c r="BO28">
        <f t="shared" si="8"/>
        <v>4.0048102770701123E-2</v>
      </c>
      <c r="BP28">
        <f t="shared" si="9"/>
        <v>3.8207278704272755E-2</v>
      </c>
      <c r="BQ28">
        <f t="shared" si="10"/>
        <v>3.5439664318561423E-2</v>
      </c>
      <c r="BR28">
        <f t="shared" si="11"/>
        <v>2.9174359604264465E-2</v>
      </c>
      <c r="BS28">
        <f t="shared" si="12"/>
        <v>3.8392617761443308E-2</v>
      </c>
      <c r="BT28">
        <f t="shared" si="13"/>
        <v>2.0275486142571592E-2</v>
      </c>
      <c r="BU28">
        <f t="shared" si="14"/>
        <v>2.6158769573003744E-2</v>
      </c>
      <c r="BV28">
        <f t="shared" si="15"/>
        <v>1.6900038195790966E-2</v>
      </c>
      <c r="BW28">
        <f t="shared" si="16"/>
        <v>2.7747664164119952E-2</v>
      </c>
      <c r="BX28">
        <f t="shared" si="17"/>
        <v>1.9669606544630812E-2</v>
      </c>
      <c r="BY28">
        <f t="shared" si="18"/>
        <v>4.2005130717623303E-2</v>
      </c>
      <c r="BZ28">
        <f t="shared" si="19"/>
        <v>1.0722582355731924E-2</v>
      </c>
      <c r="CA28">
        <f t="shared" si="20"/>
        <v>3.8439755284569221E-2</v>
      </c>
      <c r="CB28">
        <f t="shared" si="21"/>
        <v>6.251236949864683E-2</v>
      </c>
      <c r="CC28">
        <f t="shared" si="22"/>
        <v>0.14972826474937173</v>
      </c>
      <c r="CD28">
        <f t="shared" si="23"/>
        <v>2.6970049001753257E-2</v>
      </c>
      <c r="CE28">
        <f t="shared" si="24"/>
        <v>1.6353186409130454E-2</v>
      </c>
      <c r="CF28">
        <f t="shared" si="25"/>
        <v>3.1888127478812672E-2</v>
      </c>
      <c r="CG28">
        <f t="shared" si="26"/>
        <v>1.0989515511814804E-2</v>
      </c>
      <c r="CH28">
        <f t="shared" si="27"/>
        <v>9.2565571639809247E-3</v>
      </c>
      <c r="CI28">
        <f t="shared" si="28"/>
        <v>1.1828382277408674E-2</v>
      </c>
      <c r="CJ28">
        <f t="shared" si="29"/>
        <v>4.3706013248863583E-3</v>
      </c>
      <c r="CK28">
        <f t="shared" si="30"/>
        <v>3.8779899487101969E-2</v>
      </c>
      <c r="CL28">
        <f t="shared" si="31"/>
        <v>6.5876565831320556E-3</v>
      </c>
      <c r="CM28">
        <f t="shared" si="32"/>
        <v>4.1401568472433536E-2</v>
      </c>
      <c r="CN28">
        <f t="shared" si="33"/>
        <v>2.4809267620719482E-2</v>
      </c>
      <c r="CO28">
        <f t="shared" si="34"/>
        <v>2.0393841084968303E-2</v>
      </c>
      <c r="CP28">
        <f t="shared" si="35"/>
        <v>1.7336554817459389E-2</v>
      </c>
      <c r="CQ28">
        <f t="shared" si="36"/>
        <v>2.522242752796288E-2</v>
      </c>
      <c r="CR28">
        <f t="shared" si="37"/>
        <v>2.6169326751207849E-2</v>
      </c>
      <c r="CS28" s="25">
        <f t="shared" si="40"/>
        <v>2.2250964891947268E-2</v>
      </c>
    </row>
    <row r="29" spans="1:97" x14ac:dyDescent="0.25">
      <c r="A29" s="14"/>
      <c r="B29" s="11"/>
      <c r="C29" t="s">
        <v>26</v>
      </c>
      <c r="D29">
        <v>2.2833521999999999</v>
      </c>
      <c r="E29">
        <v>19.595980600000001</v>
      </c>
      <c r="F29">
        <v>3.0632550200000002</v>
      </c>
      <c r="G29">
        <v>19.962075939999998</v>
      </c>
      <c r="H29">
        <v>5.0486073300000003</v>
      </c>
      <c r="I29">
        <v>7.4690139100000001</v>
      </c>
      <c r="J29">
        <v>8.4543152799999994</v>
      </c>
      <c r="K29">
        <v>9.6762528200000002</v>
      </c>
      <c r="L29">
        <v>1.2562783099999999</v>
      </c>
      <c r="M29">
        <v>63.866955310000002</v>
      </c>
      <c r="N29">
        <v>40.907314069999998</v>
      </c>
      <c r="O29">
        <v>15.59913304</v>
      </c>
      <c r="P29">
        <v>24.603262869999998</v>
      </c>
      <c r="Q29">
        <v>25.816603010000001</v>
      </c>
      <c r="R29">
        <v>15.769038419999999</v>
      </c>
      <c r="S29">
        <v>31.16737719</v>
      </c>
      <c r="T29">
        <v>16.128521880000001</v>
      </c>
      <c r="U29">
        <v>8.7160170899999994</v>
      </c>
      <c r="V29">
        <v>2.2527344399999998</v>
      </c>
      <c r="W29">
        <v>1.0320742700000001</v>
      </c>
      <c r="X29">
        <v>5.8989753800000004</v>
      </c>
      <c r="Y29">
        <v>0.89929395999999995</v>
      </c>
      <c r="Z29">
        <v>0.66880444999999999</v>
      </c>
      <c r="AA29">
        <v>157.01267276999999</v>
      </c>
      <c r="AB29">
        <v>110.97824928</v>
      </c>
      <c r="AC29">
        <v>227.59750765000001</v>
      </c>
      <c r="AD29">
        <v>29.185477540000001</v>
      </c>
      <c r="AE29">
        <v>8.0342916399999993</v>
      </c>
      <c r="AF29">
        <v>2.4716211700000001</v>
      </c>
      <c r="AG29">
        <v>1.5118470399999999</v>
      </c>
      <c r="AH29">
        <v>113.58244902</v>
      </c>
      <c r="AI29">
        <v>206.59614264000001</v>
      </c>
      <c r="AJ29">
        <v>10.44463985</v>
      </c>
      <c r="AK29">
        <v>659.91901660999997</v>
      </c>
      <c r="AL29">
        <v>4.9090800400000001</v>
      </c>
      <c r="AM29">
        <v>229.21173268000001</v>
      </c>
      <c r="AN29">
        <v>6.6692242500000001</v>
      </c>
      <c r="AO29">
        <v>30.392620969999999</v>
      </c>
      <c r="AP29">
        <v>143.80066321000001</v>
      </c>
      <c r="AQ29">
        <v>24.312368920000001</v>
      </c>
      <c r="AR29">
        <v>71.752203269999995</v>
      </c>
      <c r="AS29">
        <v>463.65962988000001</v>
      </c>
      <c r="AT29" s="4">
        <v>0</v>
      </c>
      <c r="AU29" s="1">
        <v>0</v>
      </c>
      <c r="AV29" s="1">
        <v>3658.7648973999999</v>
      </c>
      <c r="AW29" s="1">
        <v>3610.4646766800001</v>
      </c>
      <c r="AX29" s="1">
        <v>48.300220719999999</v>
      </c>
      <c r="AY29" s="4">
        <v>6490.9415726099996</v>
      </c>
      <c r="AZ29">
        <f t="shared" si="38"/>
        <v>6490.9415726199995</v>
      </c>
      <c r="BB29" s="18"/>
      <c r="BC29" s="4" t="s">
        <v>26</v>
      </c>
      <c r="BD29">
        <f t="shared" si="39"/>
        <v>1.898054548092537E-3</v>
      </c>
      <c r="BE29">
        <f t="shared" si="39"/>
        <v>2.6684518255026888E-3</v>
      </c>
      <c r="BF29">
        <f t="shared" si="0"/>
        <v>3.6105077291701268E-3</v>
      </c>
      <c r="BG29">
        <f t="shared" si="1"/>
        <v>1.7401978204445126E-3</v>
      </c>
      <c r="BH29">
        <f t="shared" si="2"/>
        <v>1.6483267861010511E-3</v>
      </c>
      <c r="BI29">
        <f t="shared" si="3"/>
        <v>2.2253671456767183E-3</v>
      </c>
      <c r="BJ29">
        <f t="shared" si="4"/>
        <v>2.900585485028969E-3</v>
      </c>
      <c r="BK29">
        <f t="shared" si="5"/>
        <v>2.1323150942529926E-3</v>
      </c>
      <c r="BL29">
        <f t="shared" si="6"/>
        <v>2.2260002077557588E-4</v>
      </c>
      <c r="BM29">
        <f>M29/M$92</f>
        <v>3.5677407032488461E-3</v>
      </c>
      <c r="BN29">
        <f t="shared" si="7"/>
        <v>2.6888505981446423E-3</v>
      </c>
      <c r="BO29">
        <f t="shared" si="8"/>
        <v>2.3407624855569862E-3</v>
      </c>
      <c r="BP29">
        <f t="shared" si="9"/>
        <v>3.6130112384241981E-3</v>
      </c>
      <c r="BQ29">
        <f t="shared" si="10"/>
        <v>5.0975911728873653E-3</v>
      </c>
      <c r="BR29">
        <f t="shared" si="11"/>
        <v>1.2801954998232187E-3</v>
      </c>
      <c r="BS29">
        <f t="shared" si="12"/>
        <v>2.7396530687425358E-3</v>
      </c>
      <c r="BT29">
        <f t="shared" si="13"/>
        <v>1.0548079463863688E-3</v>
      </c>
      <c r="BU29">
        <f t="shared" si="14"/>
        <v>6.5142792222582244E-3</v>
      </c>
      <c r="BV29">
        <f t="shared" si="15"/>
        <v>1.2602336993677338E-3</v>
      </c>
      <c r="BW29">
        <f t="shared" si="16"/>
        <v>2.0884313403056183E-3</v>
      </c>
      <c r="BX29">
        <f t="shared" si="17"/>
        <v>5.8886257030353432E-4</v>
      </c>
      <c r="BY29">
        <f t="shared" si="18"/>
        <v>4.2541352355530992E-4</v>
      </c>
      <c r="BZ29">
        <f t="shared" si="19"/>
        <v>1.1246775607946398E-3</v>
      </c>
      <c r="CA29">
        <f t="shared" si="20"/>
        <v>5.0860669633288284E-3</v>
      </c>
      <c r="CB29">
        <f t="shared" si="21"/>
        <v>6.0221266777035973E-3</v>
      </c>
      <c r="CC29">
        <f t="shared" si="22"/>
        <v>1.4328538805278304E-2</v>
      </c>
      <c r="CD29">
        <f t="shared" si="23"/>
        <v>4.4963395855063034E-3</v>
      </c>
      <c r="CE29">
        <f t="shared" si="24"/>
        <v>5.0283137213546158E-4</v>
      </c>
      <c r="CF29">
        <f t="shared" si="25"/>
        <v>6.6699676427824247E-4</v>
      </c>
      <c r="CG29">
        <f t="shared" si="26"/>
        <v>9.1820237500636083E-4</v>
      </c>
      <c r="CH29">
        <f t="shared" si="27"/>
        <v>6.7766110899167582E-3</v>
      </c>
      <c r="CI29">
        <f t="shared" si="28"/>
        <v>1.6251088090683329E-2</v>
      </c>
      <c r="CJ29">
        <f t="shared" si="29"/>
        <v>8.4668808521879183E-4</v>
      </c>
      <c r="CK29">
        <f t="shared" si="30"/>
        <v>4.4807613656180731E-2</v>
      </c>
      <c r="CL29">
        <f t="shared" si="31"/>
        <v>1.6056958617484574E-3</v>
      </c>
      <c r="CM29">
        <f t="shared" si="32"/>
        <v>3.3735343572026941E-2</v>
      </c>
      <c r="CN29">
        <f t="shared" si="33"/>
        <v>4.4323566554874709E-3</v>
      </c>
      <c r="CO29">
        <f t="shared" si="34"/>
        <v>6.1709600378577478E-3</v>
      </c>
      <c r="CP29">
        <f t="shared" si="35"/>
        <v>2.265442752552865E-2</v>
      </c>
      <c r="CQ29">
        <f t="shared" si="36"/>
        <v>3.8607487936287341E-3</v>
      </c>
      <c r="CR29">
        <f t="shared" si="37"/>
        <v>3.1137075067185705E-2</v>
      </c>
      <c r="CS29" s="25">
        <f t="shared" si="40"/>
        <v>4.6329232997001805E-2</v>
      </c>
    </row>
    <row r="30" spans="1:97" x14ac:dyDescent="0.25">
      <c r="A30" s="14"/>
      <c r="B30" s="11"/>
      <c r="C30" t="s">
        <v>27</v>
      </c>
      <c r="D30">
        <v>1.2404245599999999</v>
      </c>
      <c r="E30">
        <v>11.12865085</v>
      </c>
      <c r="F30">
        <v>0.79212397000000001</v>
      </c>
      <c r="G30">
        <v>3722.1950799299998</v>
      </c>
      <c r="H30">
        <v>276.68061017000002</v>
      </c>
      <c r="I30">
        <v>105.38951319</v>
      </c>
      <c r="J30">
        <v>311.40312276999998</v>
      </c>
      <c r="K30">
        <v>264.94469736000002</v>
      </c>
      <c r="L30">
        <v>20.864242690000001</v>
      </c>
      <c r="M30">
        <v>568.56995129999996</v>
      </c>
      <c r="N30">
        <v>11.999307330000001</v>
      </c>
      <c r="O30">
        <v>8.0361526399999992</v>
      </c>
      <c r="P30">
        <v>9.9848292500000007</v>
      </c>
      <c r="Q30">
        <v>6.4431599799999999</v>
      </c>
      <c r="R30">
        <v>13.84311699</v>
      </c>
      <c r="S30">
        <v>11.183728840000001</v>
      </c>
      <c r="T30">
        <v>14.750130220000001</v>
      </c>
      <c r="U30">
        <v>1.1647353199999999</v>
      </c>
      <c r="V30">
        <v>31.727008900000001</v>
      </c>
      <c r="W30">
        <v>0.36513213</v>
      </c>
      <c r="X30">
        <v>34.778122549999999</v>
      </c>
      <c r="Y30">
        <v>13.392601129999999</v>
      </c>
      <c r="Z30">
        <v>0.64264708999999998</v>
      </c>
      <c r="AA30">
        <v>84.041136980000005</v>
      </c>
      <c r="AB30">
        <v>12.05359545</v>
      </c>
      <c r="AC30">
        <v>12.68828706</v>
      </c>
      <c r="AD30">
        <v>1026.5325668600001</v>
      </c>
      <c r="AE30">
        <v>2130.5145232300001</v>
      </c>
      <c r="AF30">
        <v>2.4783377400000002</v>
      </c>
      <c r="AG30">
        <v>1.08143269</v>
      </c>
      <c r="AH30">
        <v>23.415908590000001</v>
      </c>
      <c r="AI30">
        <v>9.9946698499999993</v>
      </c>
      <c r="AJ30">
        <v>31.650005180000001</v>
      </c>
      <c r="AK30">
        <v>222.76154503999999</v>
      </c>
      <c r="AL30">
        <v>13.68543489</v>
      </c>
      <c r="AM30">
        <v>21.124302440000001</v>
      </c>
      <c r="AN30">
        <v>127.96591347</v>
      </c>
      <c r="AO30">
        <v>87.986134190000001</v>
      </c>
      <c r="AP30">
        <v>77.260162260000001</v>
      </c>
      <c r="AQ30">
        <v>25.06027843</v>
      </c>
      <c r="AR30">
        <v>45.690254729999999</v>
      </c>
      <c r="AS30">
        <v>31.501431329999999</v>
      </c>
      <c r="AT30" s="4">
        <v>641.69855543999995</v>
      </c>
      <c r="AU30" s="1">
        <v>387.49236031999999</v>
      </c>
      <c r="AV30" s="1">
        <v>6549.0983571400002</v>
      </c>
      <c r="AW30" s="1">
        <v>5169.5806147100002</v>
      </c>
      <c r="AX30" s="1">
        <v>350.32682667</v>
      </c>
      <c r="AY30" s="4">
        <v>15978.103366720001</v>
      </c>
      <c r="AZ30">
        <f t="shared" si="38"/>
        <v>15978.103366709998</v>
      </c>
      <c r="BB30" s="18"/>
      <c r="BC30" s="4" t="s">
        <v>27</v>
      </c>
      <c r="BD30">
        <f t="shared" si="39"/>
        <v>1.0311127112469483E-3</v>
      </c>
      <c r="BE30">
        <f t="shared" si="39"/>
        <v>1.515426519460044E-3</v>
      </c>
      <c r="BF30">
        <f t="shared" si="0"/>
        <v>9.3363748609670951E-4</v>
      </c>
      <c r="BG30">
        <f t="shared" si="1"/>
        <v>0.32448307404663018</v>
      </c>
      <c r="BH30">
        <f t="shared" si="2"/>
        <v>9.0333834883132791E-2</v>
      </c>
      <c r="BI30">
        <f t="shared" si="3"/>
        <v>3.1400444955375528E-2</v>
      </c>
      <c r="BJ30">
        <f t="shared" si="4"/>
        <v>0.10683909317128709</v>
      </c>
      <c r="BK30">
        <f t="shared" si="5"/>
        <v>5.8384747467048817E-2</v>
      </c>
      <c r="BL30">
        <f t="shared" si="6"/>
        <v>3.6969362754186675E-3</v>
      </c>
      <c r="BM30">
        <f>M30/M$92</f>
        <v>3.1761497758131092E-2</v>
      </c>
      <c r="BN30">
        <f t="shared" si="7"/>
        <v>7.8871823841530193E-4</v>
      </c>
      <c r="BO30">
        <f t="shared" si="8"/>
        <v>1.2058826974349426E-3</v>
      </c>
      <c r="BP30">
        <f t="shared" si="9"/>
        <v>1.4662811385877234E-3</v>
      </c>
      <c r="BQ30">
        <f t="shared" si="10"/>
        <v>1.2722276213809715E-3</v>
      </c>
      <c r="BR30">
        <f t="shared" si="11"/>
        <v>1.1238412642617141E-3</v>
      </c>
      <c r="BS30">
        <f t="shared" si="12"/>
        <v>9.8306433838523462E-4</v>
      </c>
      <c r="BT30">
        <f t="shared" si="13"/>
        <v>9.6466090829953476E-4</v>
      </c>
      <c r="BU30">
        <f t="shared" si="14"/>
        <v>8.705135632663479E-4</v>
      </c>
      <c r="BV30">
        <f t="shared" si="15"/>
        <v>1.7748850057941148E-2</v>
      </c>
      <c r="BW30">
        <f t="shared" si="16"/>
        <v>7.388551442567648E-4</v>
      </c>
      <c r="BX30">
        <f t="shared" si="17"/>
        <v>3.4717104778159468E-3</v>
      </c>
      <c r="BY30">
        <f t="shared" si="18"/>
        <v>6.335407430384749E-3</v>
      </c>
      <c r="BZ30">
        <f t="shared" si="19"/>
        <v>1.0806907185395872E-3</v>
      </c>
      <c r="CA30">
        <f t="shared" si="20"/>
        <v>2.722320707072508E-3</v>
      </c>
      <c r="CB30">
        <f t="shared" si="21"/>
        <v>6.5407662485781552E-4</v>
      </c>
      <c r="CC30">
        <f t="shared" si="22"/>
        <v>7.9879878909438736E-4</v>
      </c>
      <c r="CD30">
        <f t="shared" si="23"/>
        <v>0.15814848360312334</v>
      </c>
      <c r="CE30">
        <f t="shared" si="24"/>
        <v>0.13333963827460338</v>
      </c>
      <c r="CF30">
        <f t="shared" si="25"/>
        <v>6.688093116505602E-4</v>
      </c>
      <c r="CG30">
        <f t="shared" si="26"/>
        <v>6.56795322605862E-4</v>
      </c>
      <c r="CH30">
        <f t="shared" si="27"/>
        <v>1.3970512803745767E-3</v>
      </c>
      <c r="CI30">
        <f t="shared" si="28"/>
        <v>7.8619212389011487E-4</v>
      </c>
      <c r="CJ30">
        <f t="shared" si="29"/>
        <v>2.5656875361785734E-3</v>
      </c>
      <c r="CK30">
        <f t="shared" si="30"/>
        <v>1.5125209300499754E-2</v>
      </c>
      <c r="CL30">
        <f t="shared" si="31"/>
        <v>4.4763267231432138E-3</v>
      </c>
      <c r="CM30">
        <f t="shared" si="32"/>
        <v>3.1090712163836299E-3</v>
      </c>
      <c r="CN30">
        <f t="shared" si="33"/>
        <v>8.5045958417770753E-2</v>
      </c>
      <c r="CO30">
        <f t="shared" si="34"/>
        <v>1.7864827074572612E-2</v>
      </c>
      <c r="CP30">
        <f t="shared" si="35"/>
        <v>1.2171604132129189E-2</v>
      </c>
      <c r="CQ30">
        <f t="shared" si="36"/>
        <v>3.9795151198545849E-3</v>
      </c>
      <c r="CR30">
        <f t="shared" si="37"/>
        <v>1.9827417508190573E-2</v>
      </c>
      <c r="CS30" s="25">
        <f t="shared" si="40"/>
        <v>3.1476476660354065E-3</v>
      </c>
    </row>
    <row r="31" spans="1:97" x14ac:dyDescent="0.25">
      <c r="A31" s="14"/>
      <c r="B31" s="11"/>
      <c r="C31" t="s">
        <v>28</v>
      </c>
      <c r="D31">
        <v>4.8157477100000001</v>
      </c>
      <c r="E31">
        <v>407.72897230000001</v>
      </c>
      <c r="F31">
        <v>11.95920918</v>
      </c>
      <c r="G31">
        <v>18.205803079999999</v>
      </c>
      <c r="H31">
        <v>8.4506715999999997</v>
      </c>
      <c r="I31">
        <v>1.89419526</v>
      </c>
      <c r="J31">
        <v>0.75532690000000002</v>
      </c>
      <c r="K31">
        <v>23.73374098</v>
      </c>
      <c r="L31">
        <v>531.58349174</v>
      </c>
      <c r="M31">
        <v>367.97858671</v>
      </c>
      <c r="N31">
        <v>467.04540035000002</v>
      </c>
      <c r="O31">
        <v>6.8722289999999999</v>
      </c>
      <c r="P31">
        <v>0.55013608999999997</v>
      </c>
      <c r="Q31">
        <v>1.0158092000000001</v>
      </c>
      <c r="R31">
        <v>2.7585301800000002</v>
      </c>
      <c r="S31">
        <v>0.54172189000000004</v>
      </c>
      <c r="T31">
        <v>1.014809E-2</v>
      </c>
      <c r="U31">
        <v>4.9203539999999997E-2</v>
      </c>
      <c r="V31">
        <v>5.1221503799999999</v>
      </c>
      <c r="W31">
        <v>5.8642020000000003E-2</v>
      </c>
      <c r="X31">
        <v>1008.97442671</v>
      </c>
      <c r="Y31">
        <v>53.296666379999998</v>
      </c>
      <c r="Z31">
        <v>0</v>
      </c>
      <c r="AA31">
        <v>25.633651069999999</v>
      </c>
      <c r="AB31">
        <v>2.1073493000000001</v>
      </c>
      <c r="AC31">
        <v>3.8141094299999998</v>
      </c>
      <c r="AD31">
        <v>4.71067649</v>
      </c>
      <c r="AE31">
        <v>7.4091198800000004</v>
      </c>
      <c r="AF31">
        <v>598.45187596000005</v>
      </c>
      <c r="AG31">
        <v>0.24393777999999999</v>
      </c>
      <c r="AH31">
        <v>0</v>
      </c>
      <c r="AI31">
        <v>0.34895158999999998</v>
      </c>
      <c r="AJ31">
        <v>2.8246588400000001</v>
      </c>
      <c r="AK31">
        <v>5.4388927300000001</v>
      </c>
      <c r="AL31">
        <v>1.8406180000000001E-2</v>
      </c>
      <c r="AM31">
        <v>5.6597260499999997</v>
      </c>
      <c r="AN31">
        <v>7.2699258599999999</v>
      </c>
      <c r="AO31">
        <v>19.702863149999999</v>
      </c>
      <c r="AP31">
        <v>0.14873750999999999</v>
      </c>
      <c r="AQ31">
        <v>0.42205730000000002</v>
      </c>
      <c r="AR31">
        <v>1.2776462399999999</v>
      </c>
      <c r="AS31">
        <v>9.4529920900000004</v>
      </c>
      <c r="AT31" s="4">
        <v>0</v>
      </c>
      <c r="AU31" s="1">
        <v>76.792144429999993</v>
      </c>
      <c r="AV31" s="1">
        <v>87.260555240000002</v>
      </c>
      <c r="AW31" s="1">
        <v>4.7464835000000001</v>
      </c>
      <c r="AX31" s="1">
        <v>5.7219273099999999</v>
      </c>
      <c r="AY31" s="4">
        <v>3705.5969419899998</v>
      </c>
      <c r="AZ31">
        <f t="shared" si="38"/>
        <v>3705.5969419799999</v>
      </c>
      <c r="BB31" s="18"/>
      <c r="BC31" s="4" t="s">
        <v>28</v>
      </c>
      <c r="BD31">
        <f t="shared" si="39"/>
        <v>4.0031283143405214E-3</v>
      </c>
      <c r="BE31">
        <f t="shared" si="39"/>
        <v>5.5521851274147015E-2</v>
      </c>
      <c r="BF31">
        <f t="shared" si="0"/>
        <v>1.4095730488398035E-2</v>
      </c>
      <c r="BG31">
        <f t="shared" si="1"/>
        <v>1.5870943951162024E-3</v>
      </c>
      <c r="BH31">
        <f t="shared" si="2"/>
        <v>2.7590714524481398E-3</v>
      </c>
      <c r="BI31">
        <f t="shared" si="3"/>
        <v>5.6436899835691557E-4</v>
      </c>
      <c r="BJ31">
        <f t="shared" si="4"/>
        <v>2.5914461077348512E-4</v>
      </c>
      <c r="BK31">
        <f t="shared" si="5"/>
        <v>5.2301045741738701E-3</v>
      </c>
      <c r="BL31">
        <f t="shared" si="6"/>
        <v>9.4191307263178953E-2</v>
      </c>
      <c r="BM31">
        <f>M31/M$92</f>
        <v>2.0556047730111403E-2</v>
      </c>
      <c r="BN31">
        <f t="shared" si="7"/>
        <v>3.0699040810718316E-2</v>
      </c>
      <c r="BO31">
        <f t="shared" si="8"/>
        <v>1.0312275556665681E-3</v>
      </c>
      <c r="BP31">
        <f t="shared" si="9"/>
        <v>8.0787978665073133E-5</v>
      </c>
      <c r="BQ31">
        <f t="shared" si="10"/>
        <v>2.0057557569646249E-4</v>
      </c>
      <c r="BR31">
        <f t="shared" si="11"/>
        <v>2.239488438358776E-4</v>
      </c>
      <c r="BS31">
        <f t="shared" si="12"/>
        <v>4.7618060040666087E-5</v>
      </c>
      <c r="BT31">
        <f t="shared" si="13"/>
        <v>6.6368673163520222E-7</v>
      </c>
      <c r="BU31">
        <f t="shared" si="14"/>
        <v>3.6774319620287875E-5</v>
      </c>
      <c r="BV31">
        <f t="shared" si="15"/>
        <v>2.8654538269079085E-3</v>
      </c>
      <c r="BW31">
        <f t="shared" si="16"/>
        <v>1.1866377836047485E-4</v>
      </c>
      <c r="BX31">
        <f t="shared" si="17"/>
        <v>0.10072041939645891</v>
      </c>
      <c r="BY31">
        <f t="shared" si="18"/>
        <v>2.5212137128628801E-2</v>
      </c>
      <c r="BZ31">
        <f t="shared" si="19"/>
        <v>0</v>
      </c>
      <c r="CA31">
        <f t="shared" si="20"/>
        <v>8.3034358664542125E-4</v>
      </c>
      <c r="CB31">
        <f t="shared" si="21"/>
        <v>1.1435325859890877E-4</v>
      </c>
      <c r="CC31">
        <f t="shared" si="22"/>
        <v>2.4011956694787166E-4</v>
      </c>
      <c r="CD31">
        <f t="shared" si="23"/>
        <v>7.2573084156226861E-4</v>
      </c>
      <c r="CE31">
        <f t="shared" si="24"/>
        <v>4.6370459058622462E-4</v>
      </c>
      <c r="CF31">
        <f t="shared" si="25"/>
        <v>0.16149945213552452</v>
      </c>
      <c r="CG31">
        <f t="shared" si="26"/>
        <v>1.48152718511642E-4</v>
      </c>
      <c r="CH31">
        <f t="shared" si="27"/>
        <v>0</v>
      </c>
      <c r="CI31">
        <f t="shared" si="28"/>
        <v>2.7448929859042075E-5</v>
      </c>
      <c r="CJ31">
        <f t="shared" si="29"/>
        <v>2.2897917199470825E-4</v>
      </c>
      <c r="CK31">
        <f t="shared" si="30"/>
        <v>3.6929350121649033E-4</v>
      </c>
      <c r="CL31">
        <f t="shared" si="31"/>
        <v>6.0204206930382871E-6</v>
      </c>
      <c r="CM31">
        <f t="shared" si="32"/>
        <v>8.3299751102558137E-4</v>
      </c>
      <c r="CN31">
        <f t="shared" si="33"/>
        <v>4.8315820645064489E-3</v>
      </c>
      <c r="CO31">
        <f t="shared" si="34"/>
        <v>4.0004967406412533E-3</v>
      </c>
      <c r="CP31">
        <f t="shared" si="35"/>
        <v>2.3432180807830034E-5</v>
      </c>
      <c r="CQ31">
        <f t="shared" si="36"/>
        <v>6.7021737666902789E-5</v>
      </c>
      <c r="CR31">
        <f t="shared" si="37"/>
        <v>5.5443826211843599E-4</v>
      </c>
      <c r="CS31" s="25">
        <f t="shared" si="40"/>
        <v>9.4455036590045832E-4</v>
      </c>
    </row>
    <row r="32" spans="1:97" x14ac:dyDescent="0.25">
      <c r="A32" s="14"/>
      <c r="B32" s="11"/>
      <c r="C32" t="s">
        <v>29</v>
      </c>
      <c r="D32">
        <v>0.12810978000000001</v>
      </c>
      <c r="E32">
        <v>4.8887390599999998</v>
      </c>
      <c r="F32">
        <v>2.4145873999999998</v>
      </c>
      <c r="G32">
        <v>0</v>
      </c>
      <c r="H32">
        <v>0</v>
      </c>
      <c r="I32">
        <v>0</v>
      </c>
      <c r="J32">
        <v>0</v>
      </c>
      <c r="K32">
        <v>0</v>
      </c>
      <c r="L32">
        <v>805.40689766000003</v>
      </c>
      <c r="M32">
        <v>455.28897093</v>
      </c>
      <c r="N32">
        <v>1.4707497</v>
      </c>
      <c r="O32">
        <v>3.911887E-2</v>
      </c>
      <c r="P32">
        <v>0.45685647000000001</v>
      </c>
      <c r="Q32">
        <v>0.1293417</v>
      </c>
      <c r="R32">
        <v>0.71222973999999994</v>
      </c>
      <c r="S32">
        <v>1.7253560000000001E-2</v>
      </c>
      <c r="T32">
        <v>0</v>
      </c>
      <c r="U32">
        <v>0</v>
      </c>
      <c r="V32">
        <v>0</v>
      </c>
      <c r="W32">
        <v>0</v>
      </c>
      <c r="X32">
        <v>1.5854420000000001E-2</v>
      </c>
      <c r="Y32">
        <v>341.68215672000002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1.6686053300000001</v>
      </c>
      <c r="AG32">
        <v>0.88250645000000005</v>
      </c>
      <c r="AH32">
        <v>0</v>
      </c>
      <c r="AI32">
        <v>0</v>
      </c>
      <c r="AJ32">
        <v>0</v>
      </c>
      <c r="AK32">
        <v>0</v>
      </c>
      <c r="AL32">
        <v>2.7891E-4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 s="4">
        <v>0</v>
      </c>
      <c r="AU32" s="1">
        <v>7.7635975300000002</v>
      </c>
      <c r="AV32" s="1">
        <v>31.326962959999999</v>
      </c>
      <c r="AW32" s="1">
        <v>0</v>
      </c>
      <c r="AX32" s="1">
        <v>23.563365430000001</v>
      </c>
      <c r="AY32" s="4">
        <v>1646.52921965</v>
      </c>
      <c r="AZ32">
        <f t="shared" si="38"/>
        <v>1646.5292196599999</v>
      </c>
      <c r="BB32" s="18"/>
      <c r="BC32" s="4" t="s">
        <v>29</v>
      </c>
      <c r="BD32">
        <f t="shared" si="39"/>
        <v>1.0649226631972691E-4</v>
      </c>
      <c r="BE32">
        <f t="shared" si="39"/>
        <v>6.657163494570564E-4</v>
      </c>
      <c r="BF32">
        <f t="shared" si="0"/>
        <v>2.8459551730227145E-3</v>
      </c>
      <c r="BG32">
        <f t="shared" si="1"/>
        <v>0</v>
      </c>
      <c r="BH32">
        <f t="shared" si="2"/>
        <v>0</v>
      </c>
      <c r="BI32">
        <f t="shared" si="3"/>
        <v>0</v>
      </c>
      <c r="BJ32">
        <f t="shared" si="4"/>
        <v>0</v>
      </c>
      <c r="BK32">
        <f t="shared" si="5"/>
        <v>0</v>
      </c>
      <c r="BL32">
        <f t="shared" si="6"/>
        <v>0.14271009116754405</v>
      </c>
      <c r="BM32">
        <f>M32/M$92</f>
        <v>2.543338703783344E-2</v>
      </c>
      <c r="BN32">
        <f t="shared" si="7"/>
        <v>9.6672839575801892E-5</v>
      </c>
      <c r="BO32">
        <f t="shared" si="8"/>
        <v>5.8700687492425301E-6</v>
      </c>
      <c r="BP32">
        <f t="shared" si="9"/>
        <v>6.7089782732415593E-5</v>
      </c>
      <c r="BQ32">
        <f t="shared" si="10"/>
        <v>2.5539034238968442E-5</v>
      </c>
      <c r="BR32">
        <f t="shared" si="11"/>
        <v>5.7821744338692598E-5</v>
      </c>
      <c r="BS32">
        <f t="shared" si="12"/>
        <v>1.5166104068551387E-6</v>
      </c>
      <c r="BT32">
        <f t="shared" si="13"/>
        <v>0</v>
      </c>
      <c r="BU32">
        <f t="shared" si="14"/>
        <v>0</v>
      </c>
      <c r="BV32">
        <f t="shared" si="15"/>
        <v>0</v>
      </c>
      <c r="BW32">
        <f t="shared" si="16"/>
        <v>0</v>
      </c>
      <c r="BX32">
        <f t="shared" si="17"/>
        <v>1.5826603622596847E-6</v>
      </c>
      <c r="BY32">
        <f t="shared" si="18"/>
        <v>0.16163370009316291</v>
      </c>
      <c r="BZ32">
        <f t="shared" si="19"/>
        <v>0</v>
      </c>
      <c r="CA32">
        <f t="shared" si="20"/>
        <v>0</v>
      </c>
      <c r="CB32">
        <f t="shared" si="21"/>
        <v>0</v>
      </c>
      <c r="CC32">
        <f t="shared" si="22"/>
        <v>0</v>
      </c>
      <c r="CD32">
        <f t="shared" si="23"/>
        <v>0</v>
      </c>
      <c r="CE32">
        <f t="shared" si="24"/>
        <v>0</v>
      </c>
      <c r="CF32">
        <f t="shared" si="25"/>
        <v>4.5029326074571088E-4</v>
      </c>
      <c r="CG32">
        <f t="shared" si="26"/>
        <v>5.3597982924809132E-4</v>
      </c>
      <c r="CH32">
        <f t="shared" si="27"/>
        <v>0</v>
      </c>
      <c r="CI32">
        <f t="shared" si="28"/>
        <v>0</v>
      </c>
      <c r="CJ32">
        <f t="shared" si="29"/>
        <v>0</v>
      </c>
      <c r="CK32">
        <f t="shared" si="30"/>
        <v>0</v>
      </c>
      <c r="CL32">
        <f t="shared" si="31"/>
        <v>9.1227812370372814E-8</v>
      </c>
      <c r="CM32">
        <f t="shared" si="32"/>
        <v>0</v>
      </c>
      <c r="CN32">
        <f t="shared" si="33"/>
        <v>0</v>
      </c>
      <c r="CO32">
        <f t="shared" si="34"/>
        <v>0</v>
      </c>
      <c r="CP32">
        <f t="shared" si="35"/>
        <v>0</v>
      </c>
      <c r="CQ32">
        <f t="shared" si="36"/>
        <v>0</v>
      </c>
      <c r="CR32">
        <f t="shared" si="37"/>
        <v>0</v>
      </c>
      <c r="CS32" s="25">
        <f t="shared" si="40"/>
        <v>0</v>
      </c>
    </row>
    <row r="33" spans="1:97" x14ac:dyDescent="0.25">
      <c r="A33" s="14"/>
      <c r="B33" s="11"/>
      <c r="C33" t="s">
        <v>30</v>
      </c>
      <c r="D33">
        <v>0.44766784999999998</v>
      </c>
      <c r="E33">
        <v>3.6504365999999999</v>
      </c>
      <c r="F33">
        <v>0.50696907000000002</v>
      </c>
      <c r="G33">
        <v>12.318596489999999</v>
      </c>
      <c r="H33">
        <v>2.4942047899999999</v>
      </c>
      <c r="I33">
        <v>4.65846334</v>
      </c>
      <c r="J33">
        <v>3.0675993099999999</v>
      </c>
      <c r="K33">
        <v>5.7496041199999999</v>
      </c>
      <c r="L33">
        <v>0.58445685999999997</v>
      </c>
      <c r="M33">
        <v>13.68115607</v>
      </c>
      <c r="N33">
        <v>2.9521943799999999</v>
      </c>
      <c r="O33">
        <v>4.3632999699999999</v>
      </c>
      <c r="P33">
        <v>9.0249456299999995</v>
      </c>
      <c r="Q33">
        <v>6.9659228999999998</v>
      </c>
      <c r="R33">
        <v>6.1826380700000003</v>
      </c>
      <c r="S33">
        <v>14.968610480000001</v>
      </c>
      <c r="T33">
        <v>254.06207903000001</v>
      </c>
      <c r="U33">
        <v>1.57600396</v>
      </c>
      <c r="V33">
        <v>0.82057128999999995</v>
      </c>
      <c r="W33">
        <v>0.51877876999999994</v>
      </c>
      <c r="X33">
        <v>9.5545450699999996</v>
      </c>
      <c r="Y33">
        <v>1.32000725</v>
      </c>
      <c r="Z33">
        <v>1.12512568</v>
      </c>
      <c r="AA33">
        <v>167.01096541000001</v>
      </c>
      <c r="AB33">
        <v>576.37519656999996</v>
      </c>
      <c r="AC33">
        <v>448.94009057</v>
      </c>
      <c r="AD33">
        <v>51.483550919999999</v>
      </c>
      <c r="AE33">
        <v>3.05786303</v>
      </c>
      <c r="AF33">
        <v>1.3240208899999999</v>
      </c>
      <c r="AG33">
        <v>1.05679243</v>
      </c>
      <c r="AH33">
        <v>5003.4812305200003</v>
      </c>
      <c r="AI33">
        <v>228.97989770999999</v>
      </c>
      <c r="AJ33">
        <v>89.098163229999997</v>
      </c>
      <c r="AK33">
        <v>880.77000327999997</v>
      </c>
      <c r="AL33">
        <v>26.30057648</v>
      </c>
      <c r="AM33">
        <v>226.40533675</v>
      </c>
      <c r="AN33">
        <v>15.851901120000001</v>
      </c>
      <c r="AO33">
        <v>57.196378959999997</v>
      </c>
      <c r="AP33">
        <v>106.47999182</v>
      </c>
      <c r="AQ33">
        <v>109.91560439</v>
      </c>
      <c r="AR33">
        <v>86.455991650000001</v>
      </c>
      <c r="AS33">
        <v>595.55447946000004</v>
      </c>
      <c r="AT33" s="4">
        <v>5059.2757242099997</v>
      </c>
      <c r="AU33" s="1">
        <v>0</v>
      </c>
      <c r="AV33" s="1">
        <v>7724.6194709000001</v>
      </c>
      <c r="AW33" s="1">
        <v>2206.5968000900002</v>
      </c>
      <c r="AX33" s="1">
        <v>458.7469466</v>
      </c>
      <c r="AY33" s="4">
        <v>16760.951383079999</v>
      </c>
      <c r="AZ33">
        <f t="shared" si="38"/>
        <v>16760.951383070002</v>
      </c>
      <c r="BB33" s="18"/>
      <c r="BC33" s="4" t="s">
        <v>30</v>
      </c>
      <c r="BD33">
        <f t="shared" si="39"/>
        <v>3.7212743558672536E-4</v>
      </c>
      <c r="BE33">
        <f t="shared" si="39"/>
        <v>4.9709246033606644E-4</v>
      </c>
      <c r="BF33">
        <f t="shared" si="0"/>
        <v>5.9753945843046103E-4</v>
      </c>
      <c r="BG33">
        <f t="shared" si="1"/>
        <v>1.07387602508206E-3</v>
      </c>
      <c r="BH33">
        <f t="shared" si="2"/>
        <v>8.1433636974467306E-4</v>
      </c>
      <c r="BI33">
        <f t="shared" si="3"/>
        <v>1.3879732172269353E-3</v>
      </c>
      <c r="BJ33">
        <f t="shared" si="4"/>
        <v>1.0524606355194837E-3</v>
      </c>
      <c r="BK33">
        <f t="shared" si="5"/>
        <v>1.2670160525069035E-3</v>
      </c>
      <c r="BL33">
        <f t="shared" si="6"/>
        <v>1.0355994220614049E-4</v>
      </c>
      <c r="BM33">
        <f>M33/M$92</f>
        <v>7.6425777840072545E-4</v>
      </c>
      <c r="BN33">
        <f t="shared" si="7"/>
        <v>1.9404866354507766E-4</v>
      </c>
      <c r="BO33">
        <f t="shared" si="8"/>
        <v>6.5474464874542301E-4</v>
      </c>
      <c r="BP33">
        <f t="shared" si="9"/>
        <v>1.3253213673181941E-3</v>
      </c>
      <c r="BQ33">
        <f t="shared" si="10"/>
        <v>1.3754492437405286E-3</v>
      </c>
      <c r="BR33">
        <f t="shared" si="11"/>
        <v>5.0193202803102256E-4</v>
      </c>
      <c r="BS33">
        <f t="shared" si="12"/>
        <v>1.3157603665637058E-3</v>
      </c>
      <c r="BT33">
        <f t="shared" si="13"/>
        <v>1.6615701167792672E-2</v>
      </c>
      <c r="BU33">
        <f t="shared" si="14"/>
        <v>1.1778923497756338E-3</v>
      </c>
      <c r="BV33">
        <f t="shared" si="15"/>
        <v>4.5904726896777662E-4</v>
      </c>
      <c r="BW33">
        <f t="shared" si="16"/>
        <v>1.049763445757833E-3</v>
      </c>
      <c r="BX33">
        <f t="shared" si="17"/>
        <v>9.5377817427018353E-4</v>
      </c>
      <c r="BY33">
        <f t="shared" si="18"/>
        <v>6.2443312233638807E-4</v>
      </c>
      <c r="BZ33">
        <f t="shared" si="19"/>
        <v>1.8920382562792617E-3</v>
      </c>
      <c r="CA33">
        <f t="shared" si="20"/>
        <v>5.4099388202233888E-3</v>
      </c>
      <c r="CB33">
        <f t="shared" si="21"/>
        <v>3.1276439033323084E-2</v>
      </c>
      <c r="CC33">
        <f t="shared" si="22"/>
        <v>2.826329503954654E-2</v>
      </c>
      <c r="CD33">
        <f t="shared" si="23"/>
        <v>7.9315998063338687E-3</v>
      </c>
      <c r="CE33">
        <f t="shared" si="24"/>
        <v>1.9137834821953269E-4</v>
      </c>
      <c r="CF33">
        <f t="shared" si="25"/>
        <v>3.5730299618157044E-4</v>
      </c>
      <c r="CG33">
        <f t="shared" si="26"/>
        <v>6.4183035283433393E-4</v>
      </c>
      <c r="CH33">
        <f t="shared" si="27"/>
        <v>0.29852012073592266</v>
      </c>
      <c r="CI33">
        <f t="shared" si="28"/>
        <v>1.8011819780997185E-2</v>
      </c>
      <c r="CJ33">
        <f t="shared" si="29"/>
        <v>7.2226859236051173E-3</v>
      </c>
      <c r="CK33">
        <f t="shared" si="30"/>
        <v>5.9803098613002217E-2</v>
      </c>
      <c r="CL33">
        <f t="shared" si="31"/>
        <v>8.6025745091609495E-3</v>
      </c>
      <c r="CM33">
        <f t="shared" si="32"/>
        <v>3.33222986995384E-2</v>
      </c>
      <c r="CN33">
        <f t="shared" si="33"/>
        <v>1.0535150236005529E-2</v>
      </c>
      <c r="CO33">
        <f t="shared" si="34"/>
        <v>1.1613232344151056E-2</v>
      </c>
      <c r="CP33">
        <f t="shared" si="35"/>
        <v>1.6774910516805769E-2</v>
      </c>
      <c r="CQ33">
        <f t="shared" si="36"/>
        <v>1.7454347556423378E-2</v>
      </c>
      <c r="CR33">
        <f t="shared" si="37"/>
        <v>3.7517826343035313E-2</v>
      </c>
      <c r="CS33" s="25">
        <f t="shared" si="40"/>
        <v>5.950826956500712E-2</v>
      </c>
    </row>
    <row r="34" spans="1:97" x14ac:dyDescent="0.25">
      <c r="A34" s="14"/>
      <c r="B34" s="11"/>
      <c r="C34" t="s">
        <v>31</v>
      </c>
      <c r="D34">
        <v>32.146182119999999</v>
      </c>
      <c r="E34">
        <v>112.38570532999999</v>
      </c>
      <c r="F34">
        <v>20.1760439</v>
      </c>
      <c r="G34">
        <v>58.440748419999998</v>
      </c>
      <c r="H34">
        <v>30.646972559999998</v>
      </c>
      <c r="I34">
        <v>15.02371911</v>
      </c>
      <c r="J34">
        <v>22.749041829999999</v>
      </c>
      <c r="K34">
        <v>31.450492969999999</v>
      </c>
      <c r="L34">
        <v>33.840476649999999</v>
      </c>
      <c r="M34">
        <v>174.52225697</v>
      </c>
      <c r="N34">
        <v>360.64189027999998</v>
      </c>
      <c r="O34">
        <v>44.762958099999999</v>
      </c>
      <c r="P34">
        <v>27.564529719999999</v>
      </c>
      <c r="Q34">
        <v>34.238460179999997</v>
      </c>
      <c r="R34">
        <v>41.486601919999998</v>
      </c>
      <c r="S34">
        <v>58.757404399999999</v>
      </c>
      <c r="T34">
        <v>53.665653239999997</v>
      </c>
      <c r="U34">
        <v>4.7647604899999996</v>
      </c>
      <c r="V34">
        <v>11.277394790000001</v>
      </c>
      <c r="W34">
        <v>3.26493631</v>
      </c>
      <c r="X34">
        <v>331.60148103</v>
      </c>
      <c r="Y34">
        <v>21.561029789999999</v>
      </c>
      <c r="Z34">
        <v>35.48634946</v>
      </c>
      <c r="AA34">
        <v>652.84877486000005</v>
      </c>
      <c r="AB34">
        <v>778.78940871999998</v>
      </c>
      <c r="AC34">
        <v>1124.8199517200001</v>
      </c>
      <c r="AD34">
        <v>58.267614770000002</v>
      </c>
      <c r="AE34">
        <v>205.36603055</v>
      </c>
      <c r="AF34">
        <v>108.06296924999999</v>
      </c>
      <c r="AG34">
        <v>13.68311308</v>
      </c>
      <c r="AH34">
        <v>240.79088161000001</v>
      </c>
      <c r="AI34">
        <v>1306.3026500200001</v>
      </c>
      <c r="AJ34">
        <v>574.00122237999994</v>
      </c>
      <c r="AK34">
        <v>785.82896547999997</v>
      </c>
      <c r="AL34">
        <v>5.1009402000000001</v>
      </c>
      <c r="AM34">
        <v>115.96151643</v>
      </c>
      <c r="AN34">
        <v>69.139028789999998</v>
      </c>
      <c r="AO34">
        <v>52.464878849999998</v>
      </c>
      <c r="AP34">
        <v>139.48188296000001</v>
      </c>
      <c r="AQ34">
        <v>54.42854561</v>
      </c>
      <c r="AR34">
        <v>42.694381069999999</v>
      </c>
      <c r="AS34">
        <v>55.865055910000002</v>
      </c>
      <c r="AT34" s="4">
        <v>0</v>
      </c>
      <c r="AU34" s="1">
        <v>0</v>
      </c>
      <c r="AV34" s="1">
        <v>4768.40463705</v>
      </c>
      <c r="AW34" s="1">
        <v>4684.8024920899998</v>
      </c>
      <c r="AX34" s="1">
        <v>83.602144960000004</v>
      </c>
      <c r="AY34" s="4">
        <v>12712.75753889</v>
      </c>
      <c r="AZ34">
        <f t="shared" si="38"/>
        <v>12712.75753888</v>
      </c>
      <c r="BB34" s="18"/>
      <c r="BC34" s="4" t="s">
        <v>31</v>
      </c>
      <c r="BD34">
        <f t="shared" si="39"/>
        <v>2.6721767748609696E-2</v>
      </c>
      <c r="BE34">
        <f t="shared" si="39"/>
        <v>1.5303946593427721E-2</v>
      </c>
      <c r="BF34">
        <f t="shared" si="0"/>
        <v>2.3780508631966849E-2</v>
      </c>
      <c r="BG34">
        <f t="shared" si="1"/>
        <v>5.0945835158279686E-3</v>
      </c>
      <c r="BH34">
        <f t="shared" si="2"/>
        <v>1.0005972435878054E-2</v>
      </c>
      <c r="BI34">
        <f t="shared" si="3"/>
        <v>4.4762657180898819E-3</v>
      </c>
      <c r="BJ34">
        <f t="shared" si="4"/>
        <v>7.8049538425085637E-3</v>
      </c>
      <c r="BK34">
        <f t="shared" si="5"/>
        <v>6.9306127205581453E-3</v>
      </c>
      <c r="BL34">
        <f t="shared" si="6"/>
        <v>5.9961958631168212E-3</v>
      </c>
      <c r="BM34">
        <f>M34/M$92</f>
        <v>9.7491755602326612E-3</v>
      </c>
      <c r="BN34">
        <f t="shared" si="7"/>
        <v>2.3705104684605668E-2</v>
      </c>
      <c r="BO34">
        <f t="shared" si="8"/>
        <v>6.7170048998466151E-3</v>
      </c>
      <c r="BP34">
        <f t="shared" si="9"/>
        <v>4.0478759336296851E-3</v>
      </c>
      <c r="BQ34">
        <f t="shared" si="10"/>
        <v>6.7605204417954725E-3</v>
      </c>
      <c r="BR34">
        <f t="shared" si="11"/>
        <v>3.3680532488005255E-3</v>
      </c>
      <c r="BS34">
        <f t="shared" si="12"/>
        <v>5.1648524126519926E-3</v>
      </c>
      <c r="BT34">
        <f t="shared" si="13"/>
        <v>3.5097424244290003E-3</v>
      </c>
      <c r="BU34">
        <f t="shared" si="14"/>
        <v>3.5611426570807602E-3</v>
      </c>
      <c r="BV34">
        <f t="shared" si="15"/>
        <v>6.3088452429537634E-3</v>
      </c>
      <c r="BW34">
        <f t="shared" si="16"/>
        <v>6.60669053779025E-3</v>
      </c>
      <c r="BX34">
        <f t="shared" si="17"/>
        <v>3.3101969046662551E-2</v>
      </c>
      <c r="BY34">
        <f t="shared" si="18"/>
        <v>1.019950545919924E-2</v>
      </c>
      <c r="BZ34">
        <f t="shared" si="19"/>
        <v>5.9674694078633878E-2</v>
      </c>
      <c r="CA34">
        <f t="shared" si="20"/>
        <v>2.114754514579267E-2</v>
      </c>
      <c r="CB34">
        <f t="shared" si="21"/>
        <v>4.2260249237964211E-2</v>
      </c>
      <c r="CC34">
        <f t="shared" si="22"/>
        <v>7.0813720649156184E-2</v>
      </c>
      <c r="CD34">
        <f t="shared" si="23"/>
        <v>8.9767584746322012E-3</v>
      </c>
      <c r="CE34">
        <f t="shared" si="24"/>
        <v>1.2852966703044606E-2</v>
      </c>
      <c r="CF34">
        <f t="shared" si="25"/>
        <v>2.9162094783339799E-2</v>
      </c>
      <c r="CG34">
        <f t="shared" si="26"/>
        <v>8.3102764996230045E-3</v>
      </c>
      <c r="CH34">
        <f t="shared" si="27"/>
        <v>1.4366182211671063E-2</v>
      </c>
      <c r="CI34">
        <f t="shared" si="28"/>
        <v>0.10275525557880327</v>
      </c>
      <c r="CJ34">
        <f t="shared" si="29"/>
        <v>4.6531043948841187E-2</v>
      </c>
      <c r="CK34">
        <f t="shared" si="30"/>
        <v>5.33567298392814E-2</v>
      </c>
      <c r="CL34">
        <f t="shared" si="31"/>
        <v>1.6684508102186798E-3</v>
      </c>
      <c r="CM34">
        <f t="shared" si="32"/>
        <v>1.7067196134156009E-2</v>
      </c>
      <c r="CN34">
        <f t="shared" si="33"/>
        <v>4.5949697134759916E-2</v>
      </c>
      <c r="CO34">
        <f t="shared" si="34"/>
        <v>1.065254198030418E-2</v>
      </c>
      <c r="CP34">
        <f t="shared" si="35"/>
        <v>2.1974044751289081E-2</v>
      </c>
      <c r="CQ34">
        <f t="shared" si="36"/>
        <v>8.6431290383189047E-3</v>
      </c>
      <c r="CR34">
        <f t="shared" si="37"/>
        <v>1.8527349513174363E-2</v>
      </c>
      <c r="CS34" s="25">
        <f t="shared" si="40"/>
        <v>5.5820800968045736E-3</v>
      </c>
    </row>
    <row r="35" spans="1:97" x14ac:dyDescent="0.25">
      <c r="A35" s="14"/>
      <c r="B35" s="11"/>
      <c r="C35" t="s">
        <v>32</v>
      </c>
      <c r="D35">
        <v>0.22702791999999999</v>
      </c>
      <c r="E35">
        <v>4.5578207400000004</v>
      </c>
      <c r="F35">
        <v>0.32036827000000001</v>
      </c>
      <c r="G35">
        <v>3.7543477900000002</v>
      </c>
      <c r="H35">
        <v>1.4353042499999999</v>
      </c>
      <c r="I35">
        <v>3.1855749800000002</v>
      </c>
      <c r="J35">
        <v>2.7201270499999999</v>
      </c>
      <c r="K35">
        <v>2.4394882600000001</v>
      </c>
      <c r="L35">
        <v>0.13778083999999999</v>
      </c>
      <c r="M35">
        <v>5.8786144199999999</v>
      </c>
      <c r="N35">
        <v>0.80606310000000003</v>
      </c>
      <c r="O35">
        <v>3.2186119799999999</v>
      </c>
      <c r="P35">
        <v>4.3086010200000002</v>
      </c>
      <c r="Q35">
        <v>3.50204308</v>
      </c>
      <c r="R35">
        <v>3.4343309500000001</v>
      </c>
      <c r="S35">
        <v>4.3409121900000001</v>
      </c>
      <c r="T35">
        <v>7.1207936600000004</v>
      </c>
      <c r="U35">
        <v>1.11119309</v>
      </c>
      <c r="V35">
        <v>0.45424889000000002</v>
      </c>
      <c r="W35">
        <v>1.01989755</v>
      </c>
      <c r="X35">
        <v>2.2307017299999998</v>
      </c>
      <c r="Y35">
        <v>0.70941383000000002</v>
      </c>
      <c r="Z35">
        <v>0.41943472999999998</v>
      </c>
      <c r="AA35">
        <v>13.106840200000001</v>
      </c>
      <c r="AB35">
        <v>689.94418440000004</v>
      </c>
      <c r="AC35">
        <v>49.354493099999999</v>
      </c>
      <c r="AD35">
        <v>95.497881129999996</v>
      </c>
      <c r="AE35">
        <v>0.33232445999999999</v>
      </c>
      <c r="AF35">
        <v>0.76410096000000005</v>
      </c>
      <c r="AG35">
        <v>0.68978158000000001</v>
      </c>
      <c r="AH35">
        <v>322.88898072000001</v>
      </c>
      <c r="AI35">
        <v>281.26436002000003</v>
      </c>
      <c r="AJ35">
        <v>839.36556444999997</v>
      </c>
      <c r="AK35">
        <v>266.24170672999998</v>
      </c>
      <c r="AL35">
        <v>8.4938811399999992</v>
      </c>
      <c r="AM35">
        <v>28.116431209999998</v>
      </c>
      <c r="AN35">
        <v>6.1849967100000001</v>
      </c>
      <c r="AO35">
        <v>185.65405263</v>
      </c>
      <c r="AP35">
        <v>111.79857524000001</v>
      </c>
      <c r="AQ35">
        <v>29.66096392</v>
      </c>
      <c r="AR35">
        <v>45.265781459999999</v>
      </c>
      <c r="AS35">
        <v>132.45327212000001</v>
      </c>
      <c r="AT35" s="4">
        <v>1904.0776900000001</v>
      </c>
      <c r="AU35" s="1">
        <v>0</v>
      </c>
      <c r="AV35" s="1">
        <v>9171.4658598000005</v>
      </c>
      <c r="AW35" s="1">
        <v>7267.3881697999996</v>
      </c>
      <c r="AX35" s="1">
        <v>0</v>
      </c>
      <c r="AY35" s="4">
        <v>12335.87673231</v>
      </c>
      <c r="AZ35">
        <f t="shared" si="38"/>
        <v>12335.876732300001</v>
      </c>
      <c r="BB35" s="18"/>
      <c r="BC35" s="4" t="s">
        <v>32</v>
      </c>
      <c r="BD35">
        <f t="shared" si="39"/>
        <v>1.8871875136038525E-4</v>
      </c>
      <c r="BE35">
        <f t="shared" si="39"/>
        <v>6.2065406790446688E-4</v>
      </c>
      <c r="BF35">
        <f t="shared" si="0"/>
        <v>3.776022915048914E-4</v>
      </c>
      <c r="BG35">
        <f t="shared" si="1"/>
        <v>3.2728599274874185E-4</v>
      </c>
      <c r="BH35">
        <f t="shared" si="2"/>
        <v>4.686144686716365E-4</v>
      </c>
      <c r="BI35">
        <f t="shared" si="3"/>
        <v>9.4913116858578311E-4</v>
      </c>
      <c r="BJ35">
        <f t="shared" si="4"/>
        <v>9.3324660571029343E-4</v>
      </c>
      <c r="BK35">
        <f t="shared" si="5"/>
        <v>5.3757975693848894E-4</v>
      </c>
      <c r="BL35">
        <f t="shared" si="6"/>
        <v>2.441339439067152E-5</v>
      </c>
      <c r="BM35">
        <f>M35/M$92</f>
        <v>3.2839160475300894E-4</v>
      </c>
      <c r="BN35">
        <f t="shared" si="7"/>
        <v>5.2982780655521165E-5</v>
      </c>
      <c r="BO35">
        <f t="shared" si="8"/>
        <v>4.8297595507578882E-4</v>
      </c>
      <c r="BP35">
        <f t="shared" si="9"/>
        <v>6.3272192755082178E-4</v>
      </c>
      <c r="BQ35">
        <f t="shared" si="10"/>
        <v>6.9149236577579001E-4</v>
      </c>
      <c r="BR35">
        <f t="shared" si="11"/>
        <v>2.7881313432005702E-4</v>
      </c>
      <c r="BS35">
        <f t="shared" si="12"/>
        <v>3.8157183807853749E-4</v>
      </c>
      <c r="BT35">
        <f t="shared" si="13"/>
        <v>4.6570106008658469E-4</v>
      </c>
      <c r="BU35">
        <f t="shared" si="14"/>
        <v>8.3049654255598919E-4</v>
      </c>
      <c r="BV35">
        <f t="shared" si="15"/>
        <v>2.5411772862068326E-4</v>
      </c>
      <c r="BW35">
        <f t="shared" si="16"/>
        <v>2.0637914045865289E-3</v>
      </c>
      <c r="BX35">
        <f t="shared" si="17"/>
        <v>2.2267879923044203E-4</v>
      </c>
      <c r="BY35">
        <f t="shared" si="18"/>
        <v>3.3559019686862755E-4</v>
      </c>
      <c r="BZ35">
        <f t="shared" si="19"/>
        <v>7.0533147476659042E-4</v>
      </c>
      <c r="CA35">
        <f t="shared" si="20"/>
        <v>4.2456615608665188E-4</v>
      </c>
      <c r="CB35">
        <f t="shared" si="21"/>
        <v>3.7439149616775164E-2</v>
      </c>
      <c r="CC35">
        <f t="shared" si="22"/>
        <v>3.1071419757622738E-3</v>
      </c>
      <c r="CD35">
        <f t="shared" si="23"/>
        <v>1.4712485093598179E-2</v>
      </c>
      <c r="CE35">
        <f t="shared" si="24"/>
        <v>2.079874265256026E-5</v>
      </c>
      <c r="CF35">
        <f t="shared" si="25"/>
        <v>2.062018541061043E-4</v>
      </c>
      <c r="CG35">
        <f t="shared" si="26"/>
        <v>4.1893066443523288E-4</v>
      </c>
      <c r="CH35">
        <f t="shared" si="27"/>
        <v>1.9264358767029078E-2</v>
      </c>
      <c r="CI35">
        <f t="shared" si="28"/>
        <v>2.2124575188315777E-2</v>
      </c>
      <c r="CJ35">
        <f t="shared" si="29"/>
        <v>6.8042635530679491E-2</v>
      </c>
      <c r="CK35">
        <f t="shared" si="30"/>
        <v>1.8077453799714066E-2</v>
      </c>
      <c r="CL35">
        <f t="shared" si="31"/>
        <v>2.7782374061029302E-3</v>
      </c>
      <c r="CM35">
        <f t="shared" si="32"/>
        <v>4.1381715316153814E-3</v>
      </c>
      <c r="CN35">
        <f t="shared" si="33"/>
        <v>4.1105397425700019E-3</v>
      </c>
      <c r="CO35">
        <f t="shared" si="34"/>
        <v>3.769545709061857E-2</v>
      </c>
      <c r="CP35">
        <f t="shared" si="35"/>
        <v>1.7612802776390907E-2</v>
      </c>
      <c r="CQ35">
        <f t="shared" si="36"/>
        <v>4.7100934939253714E-3</v>
      </c>
      <c r="CR35">
        <f t="shared" si="37"/>
        <v>1.9643216111304269E-2</v>
      </c>
      <c r="CS35" s="25">
        <f t="shared" si="40"/>
        <v>1.3234834585126472E-2</v>
      </c>
    </row>
    <row r="36" spans="1:97" x14ac:dyDescent="0.25">
      <c r="A36" s="14"/>
      <c r="B36" s="11"/>
      <c r="C36" t="s">
        <v>33</v>
      </c>
      <c r="D36">
        <v>32.915104509999999</v>
      </c>
      <c r="E36">
        <v>151.41158793</v>
      </c>
      <c r="F36">
        <v>34.806672409999997</v>
      </c>
      <c r="G36">
        <v>260.05044966999998</v>
      </c>
      <c r="H36">
        <v>39.122260750000002</v>
      </c>
      <c r="I36">
        <v>71.524626100000006</v>
      </c>
      <c r="J36">
        <v>63.298011340000002</v>
      </c>
      <c r="K36">
        <v>87.565798220000005</v>
      </c>
      <c r="L36">
        <v>79.401969649999998</v>
      </c>
      <c r="M36">
        <v>376.99415426000002</v>
      </c>
      <c r="N36">
        <v>296.79510685999998</v>
      </c>
      <c r="O36">
        <v>139.04061748999999</v>
      </c>
      <c r="P36">
        <v>154.41047773</v>
      </c>
      <c r="Q36">
        <v>115.41582991999999</v>
      </c>
      <c r="R36">
        <v>445.79376836</v>
      </c>
      <c r="S36">
        <v>308.85848282000001</v>
      </c>
      <c r="T36">
        <v>233.74438327999999</v>
      </c>
      <c r="U36">
        <v>25.22753544</v>
      </c>
      <c r="V36">
        <v>22.623030809999999</v>
      </c>
      <c r="W36">
        <v>19.04226907</v>
      </c>
      <c r="X36">
        <v>274.76539200000002</v>
      </c>
      <c r="Y36">
        <v>52.872750859999996</v>
      </c>
      <c r="Z36">
        <v>29.101625479999999</v>
      </c>
      <c r="AA36">
        <v>718.47533156999998</v>
      </c>
      <c r="AB36">
        <v>1705.1026881099999</v>
      </c>
      <c r="AC36">
        <v>401.24658054000002</v>
      </c>
      <c r="AD36">
        <v>145.36678556000001</v>
      </c>
      <c r="AE36">
        <v>71.426225000000002</v>
      </c>
      <c r="AF36">
        <v>71.317225489999998</v>
      </c>
      <c r="AG36">
        <v>20.804741140000001</v>
      </c>
      <c r="AH36">
        <v>1443.47082015</v>
      </c>
      <c r="AI36">
        <v>570.33609659000001</v>
      </c>
      <c r="AJ36">
        <v>903.30363097999998</v>
      </c>
      <c r="AK36">
        <v>2250.1994649399999</v>
      </c>
      <c r="AL36">
        <v>36.143918159999998</v>
      </c>
      <c r="AM36">
        <v>469.11178912000003</v>
      </c>
      <c r="AN36">
        <v>50.297702469999997</v>
      </c>
      <c r="AO36">
        <v>163.16038567999999</v>
      </c>
      <c r="AP36">
        <v>170.89697240999999</v>
      </c>
      <c r="AQ36">
        <v>68.833322109999997</v>
      </c>
      <c r="AR36">
        <v>125.35552816000001</v>
      </c>
      <c r="AS36">
        <v>535.28809064999996</v>
      </c>
      <c r="AT36" s="4">
        <v>0</v>
      </c>
      <c r="AU36" s="1">
        <v>0</v>
      </c>
      <c r="AV36" s="1">
        <v>1492.91302746</v>
      </c>
      <c r="AW36" s="1">
        <v>926.91460623</v>
      </c>
      <c r="AX36" s="1">
        <v>565.99842122999996</v>
      </c>
      <c r="AY36" s="4">
        <v>14727.83223125</v>
      </c>
      <c r="AZ36">
        <f t="shared" si="38"/>
        <v>14727.832231249999</v>
      </c>
      <c r="BB36" s="18"/>
      <c r="BC36" s="4" t="s">
        <v>33</v>
      </c>
      <c r="BD36">
        <f t="shared" si="39"/>
        <v>2.7360940557548098E-2</v>
      </c>
      <c r="BE36">
        <f t="shared" si="39"/>
        <v>2.0618234752389442E-2</v>
      </c>
      <c r="BF36">
        <f t="shared" si="0"/>
        <v>4.1024909432123474E-2</v>
      </c>
      <c r="BG36">
        <f t="shared" si="1"/>
        <v>2.2669948109682897E-2</v>
      </c>
      <c r="BH36">
        <f t="shared" si="2"/>
        <v>1.2773080992823975E-2</v>
      </c>
      <c r="BI36">
        <f t="shared" si="3"/>
        <v>2.1310517686497589E-2</v>
      </c>
      <c r="BJ36">
        <f t="shared" si="4"/>
        <v>2.1716873199458336E-2</v>
      </c>
      <c r="BK36">
        <f t="shared" si="5"/>
        <v>1.9296506277604455E-2</v>
      </c>
      <c r="BL36">
        <f t="shared" si="6"/>
        <v>1.4069239238645812E-2</v>
      </c>
      <c r="BM36">
        <f>M36/M$92</f>
        <v>2.1059676048619771E-2</v>
      </c>
      <c r="BN36">
        <f t="shared" si="7"/>
        <v>1.9508435563413511E-2</v>
      </c>
      <c r="BO36">
        <f t="shared" si="8"/>
        <v>2.0864048056690628E-2</v>
      </c>
      <c r="BP36">
        <f t="shared" si="9"/>
        <v>2.267531726652398E-2</v>
      </c>
      <c r="BQ36">
        <f t="shared" si="10"/>
        <v>2.2789315681221431E-2</v>
      </c>
      <c r="BR36">
        <f t="shared" si="11"/>
        <v>3.6191374572331493E-2</v>
      </c>
      <c r="BS36">
        <f t="shared" si="12"/>
        <v>2.7149063108732406E-2</v>
      </c>
      <c r="BT36">
        <f t="shared" si="13"/>
        <v>1.5286920570983228E-2</v>
      </c>
      <c r="BU36">
        <f t="shared" si="14"/>
        <v>1.8854851734300009E-2</v>
      </c>
      <c r="BV36">
        <f t="shared" si="15"/>
        <v>1.2655866267395691E-2</v>
      </c>
      <c r="BW36">
        <f t="shared" si="16"/>
        <v>3.8532567541210302E-2</v>
      </c>
      <c r="BX36">
        <f t="shared" si="17"/>
        <v>2.7428331962893897E-2</v>
      </c>
      <c r="BY36">
        <f t="shared" si="18"/>
        <v>2.5011602705987977E-2</v>
      </c>
      <c r="BZ36">
        <f t="shared" si="19"/>
        <v>4.8937989512488352E-2</v>
      </c>
      <c r="CA36">
        <f t="shared" si="20"/>
        <v>2.3273367578537926E-2</v>
      </c>
      <c r="CB36">
        <f t="shared" si="21"/>
        <v>9.2525737727076049E-2</v>
      </c>
      <c r="CC36">
        <f t="shared" si="22"/>
        <v>2.5260721257958012E-2</v>
      </c>
      <c r="CD36">
        <f t="shared" si="23"/>
        <v>2.239533108325608E-2</v>
      </c>
      <c r="CE36">
        <f t="shared" si="24"/>
        <v>4.4702567858497869E-3</v>
      </c>
      <c r="CF36">
        <f t="shared" si="25"/>
        <v>1.9245812916844289E-2</v>
      </c>
      <c r="CG36">
        <f t="shared" si="26"/>
        <v>1.2635512866526857E-2</v>
      </c>
      <c r="CH36">
        <f t="shared" si="27"/>
        <v>8.6121055252799728E-2</v>
      </c>
      <c r="CI36">
        <f t="shared" si="28"/>
        <v>4.4863287516124395E-2</v>
      </c>
      <c r="CJ36">
        <f t="shared" si="29"/>
        <v>7.3225734220566566E-2</v>
      </c>
      <c r="CK36">
        <f t="shared" si="30"/>
        <v>0.15278551721742922</v>
      </c>
      <c r="CL36">
        <f t="shared" si="31"/>
        <v>1.1822202804598581E-2</v>
      </c>
      <c r="CM36">
        <f t="shared" si="32"/>
        <v>6.9043792805080634E-2</v>
      </c>
      <c r="CN36">
        <f t="shared" si="33"/>
        <v>3.3427779295115631E-2</v>
      </c>
      <c r="CO36">
        <f t="shared" si="34"/>
        <v>3.3128311664419686E-2</v>
      </c>
      <c r="CP36">
        <f t="shared" si="35"/>
        <v>2.6923193463584679E-2</v>
      </c>
      <c r="CQ36">
        <f t="shared" si="36"/>
        <v>1.093057472811829E-2</v>
      </c>
      <c r="CR36">
        <f t="shared" si="37"/>
        <v>5.4398392140197649E-2</v>
      </c>
      <c r="CS36" s="25">
        <f t="shared" si="40"/>
        <v>5.3486404841116837E-2</v>
      </c>
    </row>
    <row r="37" spans="1:97" x14ac:dyDescent="0.25">
      <c r="A37" s="14"/>
      <c r="B37" s="11"/>
      <c r="C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25.836255959999999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 s="4">
        <v>2321.4416046900001</v>
      </c>
      <c r="AU37" s="1">
        <v>0</v>
      </c>
      <c r="AV37" s="1">
        <v>3031.4550760900001</v>
      </c>
      <c r="AW37" s="1">
        <v>549.90729444999999</v>
      </c>
      <c r="AX37" s="1">
        <v>160.10617696</v>
      </c>
      <c r="AY37" s="4">
        <v>3057.2913320600001</v>
      </c>
      <c r="AZ37">
        <f t="shared" si="38"/>
        <v>3057.2913320500002</v>
      </c>
      <c r="BB37" s="18"/>
      <c r="BC37" s="4" t="s">
        <v>34</v>
      </c>
      <c r="BD37">
        <f t="shared" si="39"/>
        <v>0</v>
      </c>
      <c r="BE37">
        <f t="shared" si="39"/>
        <v>0</v>
      </c>
      <c r="BF37">
        <f t="shared" si="0"/>
        <v>0</v>
      </c>
      <c r="BG37">
        <f t="shared" si="1"/>
        <v>0</v>
      </c>
      <c r="BH37">
        <f t="shared" si="2"/>
        <v>0</v>
      </c>
      <c r="BI37">
        <f t="shared" si="3"/>
        <v>0</v>
      </c>
      <c r="BJ37">
        <f t="shared" si="4"/>
        <v>0</v>
      </c>
      <c r="BK37">
        <f t="shared" si="5"/>
        <v>0</v>
      </c>
      <c r="BL37">
        <f t="shared" si="6"/>
        <v>0</v>
      </c>
      <c r="BM37">
        <f>M37/M$92</f>
        <v>0</v>
      </c>
      <c r="BN37">
        <f t="shared" si="7"/>
        <v>0</v>
      </c>
      <c r="BO37">
        <f t="shared" si="8"/>
        <v>0</v>
      </c>
      <c r="BP37">
        <f t="shared" si="9"/>
        <v>0</v>
      </c>
      <c r="BQ37">
        <f t="shared" si="10"/>
        <v>0</v>
      </c>
      <c r="BR37">
        <f t="shared" si="11"/>
        <v>0</v>
      </c>
      <c r="BS37">
        <f t="shared" si="12"/>
        <v>0</v>
      </c>
      <c r="BT37">
        <f t="shared" si="13"/>
        <v>0</v>
      </c>
      <c r="BU37">
        <f t="shared" si="14"/>
        <v>0</v>
      </c>
      <c r="BV37">
        <f t="shared" si="15"/>
        <v>0</v>
      </c>
      <c r="BW37">
        <f t="shared" si="16"/>
        <v>0</v>
      </c>
      <c r="BX37">
        <f t="shared" si="17"/>
        <v>0</v>
      </c>
      <c r="BY37">
        <f t="shared" si="18"/>
        <v>0</v>
      </c>
      <c r="BZ37">
        <f t="shared" si="19"/>
        <v>0</v>
      </c>
      <c r="CA37">
        <f t="shared" si="20"/>
        <v>0</v>
      </c>
      <c r="CB37">
        <f t="shared" si="21"/>
        <v>0</v>
      </c>
      <c r="CC37">
        <f t="shared" si="22"/>
        <v>0</v>
      </c>
      <c r="CD37">
        <f t="shared" si="23"/>
        <v>0</v>
      </c>
      <c r="CE37">
        <f t="shared" si="24"/>
        <v>0</v>
      </c>
      <c r="CF37">
        <f t="shared" si="25"/>
        <v>0</v>
      </c>
      <c r="CG37">
        <f t="shared" si="26"/>
        <v>0</v>
      </c>
      <c r="CH37">
        <f t="shared" si="27"/>
        <v>0</v>
      </c>
      <c r="CI37">
        <f t="shared" si="28"/>
        <v>0</v>
      </c>
      <c r="CJ37">
        <f t="shared" si="29"/>
        <v>0</v>
      </c>
      <c r="CK37">
        <f t="shared" si="30"/>
        <v>0</v>
      </c>
      <c r="CL37">
        <f t="shared" si="31"/>
        <v>8.4507013411918054E-3</v>
      </c>
      <c r="CM37">
        <f t="shared" si="32"/>
        <v>0</v>
      </c>
      <c r="CN37">
        <f t="shared" si="33"/>
        <v>0</v>
      </c>
      <c r="CO37">
        <f t="shared" si="34"/>
        <v>0</v>
      </c>
      <c r="CP37">
        <f t="shared" si="35"/>
        <v>0</v>
      </c>
      <c r="CQ37">
        <f t="shared" si="36"/>
        <v>0</v>
      </c>
      <c r="CR37">
        <f t="shared" si="37"/>
        <v>0</v>
      </c>
      <c r="CS37" s="25">
        <f t="shared" si="40"/>
        <v>0</v>
      </c>
    </row>
    <row r="38" spans="1:97" x14ac:dyDescent="0.25">
      <c r="A38" s="14"/>
      <c r="B38" s="11"/>
      <c r="C38" t="s">
        <v>35</v>
      </c>
      <c r="D38">
        <v>7.7855169699999998</v>
      </c>
      <c r="E38">
        <v>34.318410780000001</v>
      </c>
      <c r="F38">
        <v>12.02195976</v>
      </c>
      <c r="G38">
        <v>40.312788470000001</v>
      </c>
      <c r="H38">
        <v>10.49926464</v>
      </c>
      <c r="I38">
        <v>16.465889440000002</v>
      </c>
      <c r="J38">
        <v>10.987776849999999</v>
      </c>
      <c r="K38">
        <v>15.101203379999999</v>
      </c>
      <c r="L38">
        <v>15.45599019</v>
      </c>
      <c r="M38">
        <v>110.21198386</v>
      </c>
      <c r="N38">
        <v>58.465054549999998</v>
      </c>
      <c r="O38">
        <v>25.514452550000001</v>
      </c>
      <c r="P38">
        <v>34.433278899999998</v>
      </c>
      <c r="Q38">
        <v>43.112594860000002</v>
      </c>
      <c r="R38">
        <v>107.78301845999999</v>
      </c>
      <c r="S38">
        <v>58.177975529999998</v>
      </c>
      <c r="T38">
        <v>91.355951169999997</v>
      </c>
      <c r="U38">
        <v>8.8528092600000008</v>
      </c>
      <c r="V38">
        <v>5.9166881199999999</v>
      </c>
      <c r="W38">
        <v>2.2281643500000001</v>
      </c>
      <c r="X38">
        <v>44.899910439999999</v>
      </c>
      <c r="Y38">
        <v>6.1685599299999998</v>
      </c>
      <c r="Z38">
        <v>4.6255290699999998</v>
      </c>
      <c r="AA38">
        <v>2762.2700540000001</v>
      </c>
      <c r="AB38">
        <v>93.528362790000003</v>
      </c>
      <c r="AC38">
        <v>35.292783190000002</v>
      </c>
      <c r="AD38">
        <v>15.94558763</v>
      </c>
      <c r="AE38">
        <v>46.962240090000002</v>
      </c>
      <c r="AF38">
        <v>33.528965339999999</v>
      </c>
      <c r="AG38">
        <v>5.8037843499999999</v>
      </c>
      <c r="AH38">
        <v>137.37855619999999</v>
      </c>
      <c r="AI38">
        <v>8.5732088900000001</v>
      </c>
      <c r="AJ38">
        <v>6.8955913799999999</v>
      </c>
      <c r="AK38">
        <v>9.9408776700000008</v>
      </c>
      <c r="AL38">
        <v>88.143429589999997</v>
      </c>
      <c r="AM38">
        <v>872.46682321000003</v>
      </c>
      <c r="AN38">
        <v>5.9701234899999998</v>
      </c>
      <c r="AO38">
        <v>4.4976467199999997</v>
      </c>
      <c r="AP38">
        <v>12.80692713</v>
      </c>
      <c r="AQ38">
        <v>5.1445895200000002</v>
      </c>
      <c r="AR38">
        <v>1.5562691399999999</v>
      </c>
      <c r="AS38">
        <v>0.18481449999999999</v>
      </c>
      <c r="AT38" s="4">
        <v>113.79012</v>
      </c>
      <c r="AU38" s="1">
        <v>0</v>
      </c>
      <c r="AV38" s="1">
        <v>1882.82391072</v>
      </c>
      <c r="AW38" s="1">
        <v>1769.0156817899999</v>
      </c>
      <c r="AX38" s="1">
        <v>1.8108929999999999E-2</v>
      </c>
      <c r="AY38" s="4">
        <v>6794.4093170899996</v>
      </c>
      <c r="AZ38">
        <f t="shared" si="38"/>
        <v>6794.4093170800006</v>
      </c>
      <c r="BB38" s="18"/>
      <c r="BC38" s="4" t="s">
        <v>35</v>
      </c>
      <c r="BD38">
        <f t="shared" si="39"/>
        <v>6.4717724642567752E-3</v>
      </c>
      <c r="BE38">
        <f t="shared" si="39"/>
        <v>4.6732555907022149E-3</v>
      </c>
      <c r="BF38">
        <f t="shared" si="0"/>
        <v>1.4169691504578759E-2</v>
      </c>
      <c r="BG38">
        <f t="shared" si="1"/>
        <v>3.5142751105842495E-3</v>
      </c>
      <c r="BH38">
        <f t="shared" si="2"/>
        <v>3.4279194259450572E-3</v>
      </c>
      <c r="BI38">
        <f t="shared" si="3"/>
        <v>4.9059554347678563E-3</v>
      </c>
      <c r="BJ38">
        <f t="shared" si="4"/>
        <v>3.7697891536223062E-3</v>
      </c>
      <c r="BK38">
        <f t="shared" si="5"/>
        <v>3.3277886086236332E-3</v>
      </c>
      <c r="BL38">
        <f t="shared" si="6"/>
        <v>2.7386477263951947E-3</v>
      </c>
      <c r="BM38">
        <f>M38/M$92</f>
        <v>6.1566702044047522E-3</v>
      </c>
      <c r="BN38">
        <f t="shared" si="7"/>
        <v>3.8429263927795844E-3</v>
      </c>
      <c r="BO38">
        <f t="shared" si="8"/>
        <v>3.8286277330553359E-3</v>
      </c>
      <c r="BP38">
        <f t="shared" si="9"/>
        <v>5.0565579166815125E-3</v>
      </c>
      <c r="BQ38">
        <f t="shared" si="10"/>
        <v>8.5127537078940121E-3</v>
      </c>
      <c r="BR38">
        <f t="shared" si="11"/>
        <v>8.7502694530092288E-3</v>
      </c>
      <c r="BS38">
        <f t="shared" si="12"/>
        <v>5.1139198599339268E-3</v>
      </c>
      <c r="BT38">
        <f t="shared" si="13"/>
        <v>5.9746940209874392E-3</v>
      </c>
      <c r="BU38">
        <f t="shared" si="14"/>
        <v>6.6165165608955013E-3</v>
      </c>
      <c r="BV38">
        <f t="shared" si="15"/>
        <v>3.3099373033391023E-3</v>
      </c>
      <c r="BW38">
        <f t="shared" si="16"/>
        <v>4.5087532895202367E-3</v>
      </c>
      <c r="BX38">
        <f t="shared" si="17"/>
        <v>4.482113412057823E-3</v>
      </c>
      <c r="BY38">
        <f t="shared" si="18"/>
        <v>2.9180545314497564E-3</v>
      </c>
      <c r="BZ38">
        <f t="shared" si="19"/>
        <v>7.7784003258834465E-3</v>
      </c>
      <c r="CA38">
        <f t="shared" si="20"/>
        <v>8.9477430181841108E-2</v>
      </c>
      <c r="CB38">
        <f t="shared" si="21"/>
        <v>5.0752255719815542E-3</v>
      </c>
      <c r="CC38">
        <f t="shared" si="22"/>
        <v>2.2218785201367245E-3</v>
      </c>
      <c r="CD38">
        <f t="shared" si="23"/>
        <v>2.4565908430542213E-3</v>
      </c>
      <c r="CE38">
        <f t="shared" si="24"/>
        <v>2.9391623656581239E-3</v>
      </c>
      <c r="CF38">
        <f t="shared" si="25"/>
        <v>9.0481954365916606E-3</v>
      </c>
      <c r="CG38">
        <f t="shared" si="26"/>
        <v>3.5248596142336917E-3</v>
      </c>
      <c r="CH38">
        <f t="shared" si="27"/>
        <v>8.1963459627265624E-3</v>
      </c>
      <c r="CI38">
        <f t="shared" si="28"/>
        <v>6.7437838437281797E-4</v>
      </c>
      <c r="CJ38">
        <f t="shared" si="29"/>
        <v>5.5898672867915177E-4</v>
      </c>
      <c r="CK38">
        <f t="shared" si="30"/>
        <v>6.7497222360535995E-4</v>
      </c>
      <c r="CL38">
        <f t="shared" si="31"/>
        <v>2.8830562748978834E-2</v>
      </c>
      <c r="CM38">
        <f t="shared" si="32"/>
        <v>0.12840951766319608</v>
      </c>
      <c r="CN38">
        <f t="shared" si="33"/>
        <v>3.9677353156903645E-3</v>
      </c>
      <c r="CO38">
        <f t="shared" si="34"/>
        <v>9.1320844625141829E-4</v>
      </c>
      <c r="CP38">
        <f t="shared" si="35"/>
        <v>2.0176096272074462E-3</v>
      </c>
      <c r="CQ38">
        <f t="shared" si="36"/>
        <v>8.1694909485829849E-4</v>
      </c>
      <c r="CR38">
        <f t="shared" si="37"/>
        <v>6.7534747127667597E-4</v>
      </c>
      <c r="CS38" s="25">
        <f t="shared" si="40"/>
        <v>1.8466809443686973E-5</v>
      </c>
    </row>
    <row r="39" spans="1:97" x14ac:dyDescent="0.25">
      <c r="A39" s="14"/>
      <c r="B39" s="11"/>
      <c r="C39" t="s">
        <v>36</v>
      </c>
      <c r="D39">
        <v>2.5761881199999999</v>
      </c>
      <c r="E39">
        <v>5.5620990800000003</v>
      </c>
      <c r="F39">
        <v>2.9044883700000002</v>
      </c>
      <c r="G39">
        <v>7.6626246699999996</v>
      </c>
      <c r="H39">
        <v>2.0030505000000001</v>
      </c>
      <c r="I39">
        <v>2.1506061700000001</v>
      </c>
      <c r="J39">
        <v>1.9990114999999999</v>
      </c>
      <c r="K39">
        <v>9.0930744099999998</v>
      </c>
      <c r="L39">
        <v>3.7578158300000002</v>
      </c>
      <c r="M39">
        <v>13.82602666</v>
      </c>
      <c r="N39">
        <v>15.38067083</v>
      </c>
      <c r="O39">
        <v>4.8323269299999998</v>
      </c>
      <c r="P39">
        <v>4.8251154300000003</v>
      </c>
      <c r="Q39">
        <v>3.7312674499999998</v>
      </c>
      <c r="R39">
        <v>7.9120699800000001</v>
      </c>
      <c r="S39">
        <v>7.5987663400000001</v>
      </c>
      <c r="T39">
        <v>9.8561585199999993</v>
      </c>
      <c r="U39">
        <v>0.96536986000000002</v>
      </c>
      <c r="V39">
        <v>1.2663772499999999</v>
      </c>
      <c r="W39">
        <v>0.34524849000000002</v>
      </c>
      <c r="X39">
        <v>34.482630700000001</v>
      </c>
      <c r="Y39">
        <v>1.5651436999999999</v>
      </c>
      <c r="Z39">
        <v>29.45059732</v>
      </c>
      <c r="AA39">
        <v>21.61563456</v>
      </c>
      <c r="AB39">
        <v>15.293241330000001</v>
      </c>
      <c r="AC39">
        <v>19.8180364</v>
      </c>
      <c r="AD39">
        <v>4.8766062100000003</v>
      </c>
      <c r="AE39">
        <v>29.448512749999999</v>
      </c>
      <c r="AF39">
        <v>6.9555126600000001</v>
      </c>
      <c r="AG39">
        <v>1.49873301</v>
      </c>
      <c r="AH39">
        <v>15.51778889</v>
      </c>
      <c r="AI39">
        <v>14.29451667</v>
      </c>
      <c r="AJ39">
        <v>20.84131107</v>
      </c>
      <c r="AK39">
        <v>36.934311719999997</v>
      </c>
      <c r="AL39">
        <v>3.5535108900000001</v>
      </c>
      <c r="AM39">
        <v>5.6966853000000004</v>
      </c>
      <c r="AN39">
        <v>41.649614769999999</v>
      </c>
      <c r="AO39">
        <v>5.3343102699999996</v>
      </c>
      <c r="AP39">
        <v>6.5495622400000002</v>
      </c>
      <c r="AQ39">
        <v>5.3014947699999997</v>
      </c>
      <c r="AR39">
        <v>3.88054415</v>
      </c>
      <c r="AS39">
        <v>54.58107321</v>
      </c>
      <c r="AT39" s="4">
        <v>0</v>
      </c>
      <c r="AU39" s="1">
        <v>0</v>
      </c>
      <c r="AV39" s="1">
        <v>1017.28005125</v>
      </c>
      <c r="AW39" s="1">
        <v>1012.15612054</v>
      </c>
      <c r="AX39" s="1">
        <v>5.1239307099999998</v>
      </c>
      <c r="AY39" s="4">
        <v>1504.6677802500001</v>
      </c>
      <c r="AZ39">
        <f t="shared" si="38"/>
        <v>1504.6677802300001</v>
      </c>
      <c r="BB39" s="18"/>
      <c r="BC39" s="4" t="s">
        <v>36</v>
      </c>
      <c r="BD39">
        <f t="shared" si="39"/>
        <v>2.141476719144757E-3</v>
      </c>
      <c r="BE39">
        <f t="shared" si="39"/>
        <v>7.574100907026222E-4</v>
      </c>
      <c r="BF39">
        <f t="shared" si="0"/>
        <v>3.4233773031308841E-3</v>
      </c>
      <c r="BG39">
        <f t="shared" si="1"/>
        <v>6.6799078360876894E-4</v>
      </c>
      <c r="BH39">
        <f t="shared" si="2"/>
        <v>6.5397872665670426E-4</v>
      </c>
      <c r="BI39">
        <f t="shared" si="3"/>
        <v>6.4076575190199895E-4</v>
      </c>
      <c r="BJ39">
        <f t="shared" si="4"/>
        <v>6.8583954457231784E-4</v>
      </c>
      <c r="BK39">
        <f t="shared" si="5"/>
        <v>2.003802523383078E-3</v>
      </c>
      <c r="BL39">
        <f t="shared" si="6"/>
        <v>6.6584758740982175E-4</v>
      </c>
      <c r="BM39">
        <f>M39/M$92</f>
        <v>7.7235055029094496E-4</v>
      </c>
      <c r="BN39">
        <f t="shared" si="7"/>
        <v>1.0109763229710709E-3</v>
      </c>
      <c r="BO39">
        <f t="shared" si="8"/>
        <v>7.2512552887944086E-4</v>
      </c>
      <c r="BP39">
        <f t="shared" si="9"/>
        <v>7.0857253232623808E-4</v>
      </c>
      <c r="BQ39">
        <f t="shared" si="10"/>
        <v>7.3675363135244443E-4</v>
      </c>
      <c r="BR39">
        <f t="shared" si="11"/>
        <v>6.423344349161897E-4</v>
      </c>
      <c r="BS39">
        <f t="shared" si="12"/>
        <v>6.6794146312439476E-4</v>
      </c>
      <c r="BT39">
        <f t="shared" si="13"/>
        <v>6.4459436550299133E-4</v>
      </c>
      <c r="BU39">
        <f t="shared" si="14"/>
        <v>7.2150946422620333E-4</v>
      </c>
      <c r="BV39">
        <f t="shared" si="15"/>
        <v>7.0844181996109477E-4</v>
      </c>
      <c r="BW39">
        <f t="shared" si="16"/>
        <v>6.9862003895242045E-4</v>
      </c>
      <c r="BX39">
        <f t="shared" si="17"/>
        <v>3.4422131364836382E-3</v>
      </c>
      <c r="BY39">
        <f t="shared" si="18"/>
        <v>7.4039560577877667E-4</v>
      </c>
      <c r="BZ39">
        <f t="shared" si="19"/>
        <v>4.9524828905972082E-2</v>
      </c>
      <c r="CA39">
        <f t="shared" si="20"/>
        <v>7.001891177793551E-4</v>
      </c>
      <c r="CB39">
        <f t="shared" si="21"/>
        <v>8.2987285526182561E-4</v>
      </c>
      <c r="CC39">
        <f t="shared" si="22"/>
        <v>1.247656472752319E-3</v>
      </c>
      <c r="CD39">
        <f t="shared" si="23"/>
        <v>7.512941158799647E-4</v>
      </c>
      <c r="CE39">
        <f t="shared" si="24"/>
        <v>1.8430543396892594E-3</v>
      </c>
      <c r="CF39">
        <f t="shared" si="25"/>
        <v>1.8770289292012947E-3</v>
      </c>
      <c r="CG39">
        <f t="shared" si="26"/>
        <v>9.1023772436822181E-4</v>
      </c>
      <c r="CH39">
        <f t="shared" si="27"/>
        <v>9.258298371823667E-4</v>
      </c>
      <c r="CI39">
        <f t="shared" si="28"/>
        <v>1.1244229763897556E-3</v>
      </c>
      <c r="CJ39">
        <f t="shared" si="29"/>
        <v>1.6894876239612522E-3</v>
      </c>
      <c r="CK39">
        <f t="shared" si="30"/>
        <v>2.5077900902267013E-3</v>
      </c>
      <c r="CL39">
        <f t="shared" si="31"/>
        <v>1.1623069259940357E-3</v>
      </c>
      <c r="CM39">
        <f t="shared" si="32"/>
        <v>8.3843716711271173E-4</v>
      </c>
      <c r="CN39">
        <f t="shared" si="33"/>
        <v>2.7680272892952846E-2</v>
      </c>
      <c r="CO39">
        <f t="shared" si="34"/>
        <v>1.0830857772416778E-3</v>
      </c>
      <c r="CP39">
        <f t="shared" si="35"/>
        <v>1.0318212710419604E-3</v>
      </c>
      <c r="CQ39">
        <f t="shared" si="36"/>
        <v>8.4186529108108569E-4</v>
      </c>
      <c r="CR39">
        <f t="shared" si="37"/>
        <v>1.6839732996825974E-3</v>
      </c>
      <c r="CS39" s="25">
        <f t="shared" si="40"/>
        <v>5.4537835407990065E-3</v>
      </c>
    </row>
    <row r="40" spans="1:97" x14ac:dyDescent="0.25">
      <c r="A40" s="14"/>
      <c r="B40" s="11"/>
      <c r="C40" t="s">
        <v>37</v>
      </c>
      <c r="D40">
        <v>2.38512784</v>
      </c>
      <c r="E40">
        <v>27.501417880000002</v>
      </c>
      <c r="F40">
        <v>5.3773024100000004</v>
      </c>
      <c r="G40">
        <v>28.459219489999999</v>
      </c>
      <c r="H40">
        <v>7.8892052499999998</v>
      </c>
      <c r="I40">
        <v>9.0461635499999993</v>
      </c>
      <c r="J40">
        <v>8.3589985599999999</v>
      </c>
      <c r="K40">
        <v>15.14961628</v>
      </c>
      <c r="L40">
        <v>15.72806946</v>
      </c>
      <c r="M40">
        <v>59.531132049999997</v>
      </c>
      <c r="N40">
        <v>37.76903385</v>
      </c>
      <c r="O40">
        <v>20.610047420000001</v>
      </c>
      <c r="P40">
        <v>23.470094339999999</v>
      </c>
      <c r="Q40">
        <v>15.61615988</v>
      </c>
      <c r="R40">
        <v>46.251938869999996</v>
      </c>
      <c r="S40">
        <v>27.808572049999999</v>
      </c>
      <c r="T40">
        <v>46.975074659999997</v>
      </c>
      <c r="U40">
        <v>4.4296010099999998</v>
      </c>
      <c r="V40">
        <v>5.1993223000000004</v>
      </c>
      <c r="W40">
        <v>2.1799753700000002</v>
      </c>
      <c r="X40">
        <v>39.949515730000002</v>
      </c>
      <c r="Y40">
        <v>4.7895687899999997</v>
      </c>
      <c r="Z40">
        <v>5.1769894699999996</v>
      </c>
      <c r="AA40">
        <v>248.54746495000001</v>
      </c>
      <c r="AB40">
        <v>182.59002705</v>
      </c>
      <c r="AC40">
        <v>553.25007884000001</v>
      </c>
      <c r="AD40">
        <v>82.084961120000003</v>
      </c>
      <c r="AE40">
        <v>8.8006558100000003</v>
      </c>
      <c r="AF40">
        <v>8.7565863200000003</v>
      </c>
      <c r="AG40">
        <v>4.1353906599999997</v>
      </c>
      <c r="AH40">
        <v>51.246221480000003</v>
      </c>
      <c r="AI40">
        <v>66.42123857</v>
      </c>
      <c r="AJ40">
        <v>88.192218990000001</v>
      </c>
      <c r="AK40">
        <v>179.86160447</v>
      </c>
      <c r="AL40">
        <v>23.40102211</v>
      </c>
      <c r="AM40">
        <v>61.631533930000003</v>
      </c>
      <c r="AN40">
        <v>91.464962240000006</v>
      </c>
      <c r="AO40">
        <v>194.26398395999999</v>
      </c>
      <c r="AP40">
        <v>84.178735029999999</v>
      </c>
      <c r="AQ40">
        <v>102.92174278</v>
      </c>
      <c r="AR40">
        <v>41.325751990000001</v>
      </c>
      <c r="AS40">
        <v>302.52817719000001</v>
      </c>
      <c r="AT40" s="4">
        <v>0</v>
      </c>
      <c r="AU40" s="1">
        <v>0</v>
      </c>
      <c r="AV40" s="1">
        <v>2089.84965865</v>
      </c>
      <c r="AW40" s="1">
        <v>2087.5802763800002</v>
      </c>
      <c r="AX40" s="1">
        <v>2.2693822699999999</v>
      </c>
      <c r="AY40" s="4">
        <v>4925.1041626400001</v>
      </c>
      <c r="AZ40">
        <f t="shared" si="38"/>
        <v>4925.10416265</v>
      </c>
      <c r="BB40" s="18"/>
      <c r="BC40" s="4" t="s">
        <v>37</v>
      </c>
      <c r="BD40">
        <f t="shared" si="39"/>
        <v>1.9826563525741359E-3</v>
      </c>
      <c r="BE40">
        <f t="shared" si="39"/>
        <v>3.744962308535776E-3</v>
      </c>
      <c r="BF40">
        <f t="shared" si="0"/>
        <v>6.3379613472045009E-3</v>
      </c>
      <c r="BG40">
        <f t="shared" si="1"/>
        <v>2.4809379483830378E-3</v>
      </c>
      <c r="BH40">
        <f t="shared" si="2"/>
        <v>2.5757575276950757E-3</v>
      </c>
      <c r="BI40">
        <f t="shared" si="3"/>
        <v>2.6952734860535648E-3</v>
      </c>
      <c r="BJ40">
        <f t="shared" si="4"/>
        <v>2.867883334073396E-3</v>
      </c>
      <c r="BK40">
        <f t="shared" si="5"/>
        <v>3.3384571555649853E-3</v>
      </c>
      <c r="BL40">
        <f t="shared" si="6"/>
        <v>2.7868574667628395E-3</v>
      </c>
      <c r="BM40">
        <f>M40/M$92</f>
        <v>3.3255326153306007E-3</v>
      </c>
      <c r="BN40">
        <f t="shared" si="7"/>
        <v>2.4825704539080179E-3</v>
      </c>
      <c r="BO40">
        <f t="shared" si="8"/>
        <v>3.0926863501054259E-3</v>
      </c>
      <c r="BP40">
        <f t="shared" si="9"/>
        <v>3.4466044225660124E-3</v>
      </c>
      <c r="BQ40">
        <f t="shared" si="10"/>
        <v>3.0834730164867579E-3</v>
      </c>
      <c r="BR40">
        <f t="shared" si="11"/>
        <v>3.7549229333079782E-3</v>
      </c>
      <c r="BS40">
        <f t="shared" si="12"/>
        <v>2.4444097201279584E-3</v>
      </c>
      <c r="BT40">
        <f t="shared" si="13"/>
        <v>3.0721775003389805E-3</v>
      </c>
      <c r="BU40">
        <f t="shared" si="14"/>
        <v>3.3106472284736019E-3</v>
      </c>
      <c r="BV40">
        <f t="shared" si="15"/>
        <v>2.9086256506710823E-3</v>
      </c>
      <c r="BW40">
        <f t="shared" si="16"/>
        <v>4.4112415318738026E-3</v>
      </c>
      <c r="BX40">
        <f t="shared" si="17"/>
        <v>3.9879424814872298E-3</v>
      </c>
      <c r="BY40">
        <f t="shared" si="18"/>
        <v>2.265718914941275E-3</v>
      </c>
      <c r="BZ40">
        <f t="shared" si="19"/>
        <v>8.7057493253508336E-3</v>
      </c>
      <c r="CA40">
        <f t="shared" si="20"/>
        <v>8.051127517286991E-3</v>
      </c>
      <c r="CB40">
        <f t="shared" si="21"/>
        <v>9.9080700958452395E-3</v>
      </c>
      <c r="CC40">
        <f t="shared" si="22"/>
        <v>3.4830193465355465E-2</v>
      </c>
      <c r="CD40">
        <f t="shared" si="23"/>
        <v>1.2646079186223994E-2</v>
      </c>
      <c r="CE40">
        <f t="shared" si="24"/>
        <v>5.5079477257241095E-4</v>
      </c>
      <c r="CF40">
        <f t="shared" si="25"/>
        <v>2.3630703654974449E-3</v>
      </c>
      <c r="CG40">
        <f t="shared" si="26"/>
        <v>2.5115804873958162E-3</v>
      </c>
      <c r="CH40">
        <f t="shared" si="27"/>
        <v>3.0574768883223223E-3</v>
      </c>
      <c r="CI40">
        <f t="shared" si="28"/>
        <v>5.2247703432405342E-3</v>
      </c>
      <c r="CJ40">
        <f t="shared" si="29"/>
        <v>7.1492461300941331E-3</v>
      </c>
      <c r="CK40">
        <f t="shared" si="30"/>
        <v>1.2212361034953129E-2</v>
      </c>
      <c r="CL40">
        <f t="shared" si="31"/>
        <v>7.6541682059661741E-3</v>
      </c>
      <c r="CM40">
        <f t="shared" si="32"/>
        <v>9.0709186117548333E-3</v>
      </c>
      <c r="CN40">
        <f t="shared" si="33"/>
        <v>6.0787479762488751E-2</v>
      </c>
      <c r="CO40">
        <f t="shared" si="34"/>
        <v>3.944362952426865E-2</v>
      </c>
      <c r="CP40">
        <f t="shared" si="35"/>
        <v>1.3261559504373684E-2</v>
      </c>
      <c r="CQ40">
        <f t="shared" si="36"/>
        <v>1.6343738266869464E-2</v>
      </c>
      <c r="CR40">
        <f t="shared" si="37"/>
        <v>1.7933428985845958E-2</v>
      </c>
      <c r="CS40" s="25">
        <f t="shared" si="40"/>
        <v>3.0228852170764188E-2</v>
      </c>
    </row>
    <row r="41" spans="1:97" x14ac:dyDescent="0.25">
      <c r="A41" s="14"/>
      <c r="B41" s="11"/>
      <c r="C41" t="s">
        <v>38</v>
      </c>
      <c r="D41">
        <v>2.5573130100000001</v>
      </c>
      <c r="E41">
        <v>1.0259105799999999</v>
      </c>
      <c r="F41">
        <v>0.96531239999999996</v>
      </c>
      <c r="G41">
        <v>4.6591270900000001</v>
      </c>
      <c r="H41">
        <v>1.2380305700000001</v>
      </c>
      <c r="I41">
        <v>1.31347298</v>
      </c>
      <c r="J41">
        <v>0.86250607000000001</v>
      </c>
      <c r="K41">
        <v>0.98390096000000005</v>
      </c>
      <c r="L41">
        <v>0.19663797</v>
      </c>
      <c r="M41">
        <v>1.1201476299999999</v>
      </c>
      <c r="N41">
        <v>0.67984853999999995</v>
      </c>
      <c r="O41">
        <v>0.39864010999999999</v>
      </c>
      <c r="P41">
        <v>0.60564722999999998</v>
      </c>
      <c r="Q41">
        <v>1.2584822200000001</v>
      </c>
      <c r="R41">
        <v>2.0827899699999999</v>
      </c>
      <c r="S41">
        <v>2.5528870299999999</v>
      </c>
      <c r="T41">
        <v>3.3539016099999999</v>
      </c>
      <c r="U41">
        <v>0.79859992000000002</v>
      </c>
      <c r="V41">
        <v>0.65843481999999998</v>
      </c>
      <c r="W41">
        <v>0.60145314999999999</v>
      </c>
      <c r="X41">
        <v>4.4526581900000002</v>
      </c>
      <c r="Y41">
        <v>1.0191616100000001</v>
      </c>
      <c r="Z41">
        <v>0.76263024999999995</v>
      </c>
      <c r="AA41">
        <v>15.100119469999999</v>
      </c>
      <c r="AB41">
        <v>2.0287601999999998</v>
      </c>
      <c r="AC41">
        <v>6.5153924600000002</v>
      </c>
      <c r="AD41">
        <v>3.1914355400000001</v>
      </c>
      <c r="AE41">
        <v>3.8981146999999998</v>
      </c>
      <c r="AF41">
        <v>0.74340183000000004</v>
      </c>
      <c r="AG41">
        <v>1.0544949400000001</v>
      </c>
      <c r="AH41">
        <v>5.2095887999999997</v>
      </c>
      <c r="AI41">
        <v>20.210083829999999</v>
      </c>
      <c r="AJ41">
        <v>3.13801153</v>
      </c>
      <c r="AK41">
        <v>17.574987109999999</v>
      </c>
      <c r="AL41">
        <v>1.1351796999999999</v>
      </c>
      <c r="AM41">
        <v>4.8960595900000001</v>
      </c>
      <c r="AN41">
        <v>0.86905275000000004</v>
      </c>
      <c r="AO41">
        <v>6.0475411799999996</v>
      </c>
      <c r="AP41">
        <v>109.38987091</v>
      </c>
      <c r="AQ41">
        <v>21.53537158</v>
      </c>
      <c r="AR41">
        <v>3.6167236200000001</v>
      </c>
      <c r="AS41">
        <v>8.0723546699999993</v>
      </c>
      <c r="AT41" s="4">
        <v>0</v>
      </c>
      <c r="AU41" s="1">
        <v>0</v>
      </c>
      <c r="AV41" s="1">
        <v>6079.2003176199996</v>
      </c>
      <c r="AW41" s="1">
        <v>6073.9586715200003</v>
      </c>
      <c r="AX41" s="1">
        <v>5.2416460999999996</v>
      </c>
      <c r="AY41" s="4">
        <v>6347.57435592</v>
      </c>
      <c r="AZ41">
        <f t="shared" si="38"/>
        <v>6347.5743559399998</v>
      </c>
      <c r="BB41" s="18"/>
      <c r="BC41" s="4" t="s">
        <v>38</v>
      </c>
      <c r="BD41">
        <f t="shared" si="39"/>
        <v>2.1257866348987756E-3</v>
      </c>
      <c r="BE41">
        <f t="shared" si="39"/>
        <v>1.3970175904356232E-4</v>
      </c>
      <c r="BF41">
        <f t="shared" si="0"/>
        <v>1.1377661534898145E-3</v>
      </c>
      <c r="BG41">
        <f t="shared" si="1"/>
        <v>4.0616030274414364E-4</v>
      </c>
      <c r="BH41">
        <f t="shared" si="2"/>
        <v>4.0420631218767263E-4</v>
      </c>
      <c r="BI41">
        <f t="shared" si="3"/>
        <v>3.9134478147277854E-4</v>
      </c>
      <c r="BJ41">
        <f t="shared" si="4"/>
        <v>2.9591664192009885E-4</v>
      </c>
      <c r="BK41">
        <f t="shared" si="5"/>
        <v>2.1681811206107054E-4</v>
      </c>
      <c r="BL41">
        <f t="shared" si="6"/>
        <v>3.4842292395597497E-5</v>
      </c>
      <c r="BM41">
        <f>M41/M$92</f>
        <v>6.2573771895041156E-5</v>
      </c>
      <c r="BN41">
        <f t="shared" si="7"/>
        <v>4.4686657997117471E-5</v>
      </c>
      <c r="BO41">
        <f t="shared" si="8"/>
        <v>5.9818825336866954E-5</v>
      </c>
      <c r="BP41">
        <f t="shared" si="9"/>
        <v>8.8939839405556263E-5</v>
      </c>
      <c r="BQ41">
        <f t="shared" si="10"/>
        <v>2.4849233082380249E-4</v>
      </c>
      <c r="BR41">
        <f t="shared" si="11"/>
        <v>1.6908946986197632E-4</v>
      </c>
      <c r="BS41">
        <f t="shared" si="12"/>
        <v>2.2440209656578159E-4</v>
      </c>
      <c r="BT41">
        <f t="shared" si="13"/>
        <v>2.1934570916960162E-4</v>
      </c>
      <c r="BU41">
        <f t="shared" si="14"/>
        <v>5.9686698775771681E-4</v>
      </c>
      <c r="BV41">
        <f t="shared" si="15"/>
        <v>3.6834423723780242E-4</v>
      </c>
      <c r="BW41">
        <f t="shared" si="16"/>
        <v>1.217057381137441E-3</v>
      </c>
      <c r="BX41">
        <f t="shared" si="17"/>
        <v>4.4448460580733646E-4</v>
      </c>
      <c r="BY41">
        <f t="shared" si="18"/>
        <v>4.821172507178883E-4</v>
      </c>
      <c r="BZ41">
        <f t="shared" si="19"/>
        <v>1.2824572703698464E-3</v>
      </c>
      <c r="CA41">
        <f t="shared" si="20"/>
        <v>4.8913388597101465E-4</v>
      </c>
      <c r="CB41">
        <f t="shared" si="21"/>
        <v>1.100886975812571E-4</v>
      </c>
      <c r="CC41">
        <f t="shared" si="22"/>
        <v>4.1018047455199216E-4</v>
      </c>
      <c r="CD41">
        <f t="shared" si="23"/>
        <v>4.9167528382657694E-4</v>
      </c>
      <c r="CE41">
        <f t="shared" si="24"/>
        <v>2.4396604594035043E-4</v>
      </c>
      <c r="CF41">
        <f t="shared" si="25"/>
        <v>2.0061594437974654E-4</v>
      </c>
      <c r="CG41">
        <f t="shared" si="26"/>
        <v>6.4043499952229962E-4</v>
      </c>
      <c r="CH41">
        <f t="shared" si="27"/>
        <v>3.1081701037956837E-4</v>
      </c>
      <c r="CI41">
        <f t="shared" si="28"/>
        <v>1.5897482326847413E-3</v>
      </c>
      <c r="CJ41">
        <f t="shared" si="29"/>
        <v>2.5438090847433012E-4</v>
      </c>
      <c r="CK41">
        <f t="shared" si="30"/>
        <v>1.1933179869290391E-3</v>
      </c>
      <c r="CL41">
        <f t="shared" si="31"/>
        <v>3.7130242973810941E-4</v>
      </c>
      <c r="CM41">
        <f t="shared" si="32"/>
        <v>7.2060121219169756E-4</v>
      </c>
      <c r="CN41">
        <f t="shared" si="33"/>
        <v>5.7757118310007181E-4</v>
      </c>
      <c r="CO41">
        <f t="shared" si="34"/>
        <v>1.2279011733116443E-3</v>
      </c>
      <c r="CP41">
        <f t="shared" si="35"/>
        <v>1.7233334306243981E-2</v>
      </c>
      <c r="CQ41">
        <f t="shared" si="36"/>
        <v>3.4197679428694485E-3</v>
      </c>
      <c r="CR41">
        <f t="shared" si="37"/>
        <v>1.5694876215778626E-3</v>
      </c>
      <c r="CS41" s="25">
        <f t="shared" si="40"/>
        <v>8.0659599464731732E-4</v>
      </c>
    </row>
    <row r="42" spans="1:97" x14ac:dyDescent="0.25">
      <c r="A42" s="14"/>
      <c r="B42" s="11"/>
      <c r="C42" t="s">
        <v>39</v>
      </c>
      <c r="D42">
        <v>0.69712010000000002</v>
      </c>
      <c r="E42">
        <v>2.7530720899999999</v>
      </c>
      <c r="F42">
        <v>0.40840240999999999</v>
      </c>
      <c r="G42">
        <v>1.0297624599999999</v>
      </c>
      <c r="H42">
        <v>0.48556113000000001</v>
      </c>
      <c r="I42">
        <v>0.72249304000000003</v>
      </c>
      <c r="J42">
        <v>0.65035430000000005</v>
      </c>
      <c r="K42">
        <v>0.96369196000000001</v>
      </c>
      <c r="L42">
        <v>4.8769775800000001</v>
      </c>
      <c r="M42">
        <v>1.9919804800000001</v>
      </c>
      <c r="N42">
        <v>4.4827663099999997</v>
      </c>
      <c r="O42">
        <v>3.8281900100000001</v>
      </c>
      <c r="P42">
        <v>5.1536817700000004</v>
      </c>
      <c r="Q42">
        <v>3.6772728099999998</v>
      </c>
      <c r="R42">
        <v>4.3813437000000004</v>
      </c>
      <c r="S42">
        <v>5.0675530699999998</v>
      </c>
      <c r="T42">
        <v>2.01291989</v>
      </c>
      <c r="U42">
        <v>0.55023149999999998</v>
      </c>
      <c r="V42">
        <v>0.15093448000000001</v>
      </c>
      <c r="W42">
        <v>0.10135572</v>
      </c>
      <c r="X42">
        <v>5.0379536099999997</v>
      </c>
      <c r="Y42">
        <v>0.89393591999999999</v>
      </c>
      <c r="Z42">
        <v>2.392006E-2</v>
      </c>
      <c r="AA42">
        <v>11.798416870000001</v>
      </c>
      <c r="AB42">
        <v>0.35882886000000003</v>
      </c>
      <c r="AC42">
        <v>4.4850869400000004</v>
      </c>
      <c r="AD42">
        <v>0.13508543000000001</v>
      </c>
      <c r="AE42">
        <v>1.31230834</v>
      </c>
      <c r="AF42">
        <v>3.0863360399999999</v>
      </c>
      <c r="AG42">
        <v>9.7772300000000006E-2</v>
      </c>
      <c r="AH42">
        <v>0.43199197</v>
      </c>
      <c r="AI42">
        <v>5.8321835799999997</v>
      </c>
      <c r="AJ42">
        <v>1.257636E-2</v>
      </c>
      <c r="AK42">
        <v>0.11022593</v>
      </c>
      <c r="AL42">
        <v>0.33191084999999998</v>
      </c>
      <c r="AM42">
        <v>0.68906548000000001</v>
      </c>
      <c r="AN42">
        <v>0.38813934999999999</v>
      </c>
      <c r="AO42">
        <v>1.5780524600000001</v>
      </c>
      <c r="AP42">
        <v>0.27561480999999999</v>
      </c>
      <c r="AQ42">
        <v>49.561405720000003</v>
      </c>
      <c r="AR42">
        <v>0.72009493000000002</v>
      </c>
      <c r="AS42">
        <v>26.444938799999999</v>
      </c>
      <c r="AT42" s="4">
        <v>0</v>
      </c>
      <c r="AU42" s="1">
        <v>0</v>
      </c>
      <c r="AV42" s="1">
        <v>6139.7280572299996</v>
      </c>
      <c r="AW42" s="1">
        <v>6137.4553549700004</v>
      </c>
      <c r="AX42" s="1">
        <v>2.2727022699999999</v>
      </c>
      <c r="AY42" s="4">
        <v>6297.3195666399997</v>
      </c>
      <c r="AZ42">
        <f t="shared" si="38"/>
        <v>6297.3195666499996</v>
      </c>
      <c r="BB42" s="18"/>
      <c r="BC42" s="4" t="s">
        <v>39</v>
      </c>
      <c r="BD42">
        <f t="shared" si="39"/>
        <v>5.794865883466091E-4</v>
      </c>
      <c r="BE42">
        <f t="shared" si="39"/>
        <v>3.7489526011783264E-4</v>
      </c>
      <c r="BF42">
        <f t="shared" si="0"/>
        <v>4.8136379383676223E-4</v>
      </c>
      <c r="BG42">
        <f t="shared" si="1"/>
        <v>8.9769741075715985E-5</v>
      </c>
      <c r="BH42">
        <f t="shared" si="2"/>
        <v>1.5853152454787855E-4</v>
      </c>
      <c r="BI42">
        <f t="shared" si="3"/>
        <v>2.1526432987940372E-4</v>
      </c>
      <c r="BJ42">
        <f t="shared" si="4"/>
        <v>2.2312963028109072E-4</v>
      </c>
      <c r="BK42">
        <f t="shared" si="5"/>
        <v>2.1236473981652858E-4</v>
      </c>
      <c r="BL42">
        <f t="shared" si="6"/>
        <v>8.641519176033676E-4</v>
      </c>
      <c r="BM42">
        <f>M42/M$92</f>
        <v>1.1127616470955227E-4</v>
      </c>
      <c r="BN42">
        <f t="shared" si="7"/>
        <v>2.9465363708212168E-4</v>
      </c>
      <c r="BO42">
        <f t="shared" si="8"/>
        <v>5.744475375659739E-4</v>
      </c>
      <c r="BP42">
        <f t="shared" si="9"/>
        <v>7.5682279430410826E-4</v>
      </c>
      <c r="BQ42">
        <f t="shared" si="10"/>
        <v>7.2609217445431505E-4</v>
      </c>
      <c r="BR42">
        <f t="shared" si="11"/>
        <v>3.5569553060412997E-4</v>
      </c>
      <c r="BS42">
        <f t="shared" si="12"/>
        <v>4.4544451830536464E-4</v>
      </c>
      <c r="BT42">
        <f t="shared" si="13"/>
        <v>1.3164528722524048E-4</v>
      </c>
      <c r="BU42">
        <f t="shared" si="14"/>
        <v>4.1123848093349439E-4</v>
      </c>
      <c r="BV42">
        <f t="shared" si="15"/>
        <v>8.4436369735859892E-5</v>
      </c>
      <c r="BW42">
        <f t="shared" si="16"/>
        <v>2.0509615278679601E-4</v>
      </c>
      <c r="BX42">
        <f t="shared" si="17"/>
        <v>5.0291145847341536E-4</v>
      </c>
      <c r="BY42">
        <f t="shared" si="18"/>
        <v>4.2287888774417842E-4</v>
      </c>
      <c r="BZ42">
        <f t="shared" si="19"/>
        <v>4.0224545059264236E-5</v>
      </c>
      <c r="CA42">
        <f t="shared" si="20"/>
        <v>3.8218277036778146E-4</v>
      </c>
      <c r="CB42">
        <f t="shared" si="21"/>
        <v>1.947149882571989E-5</v>
      </c>
      <c r="CC42">
        <f t="shared" si="22"/>
        <v>2.8236136207459444E-4</v>
      </c>
      <c r="CD42">
        <f t="shared" si="23"/>
        <v>2.0811376668471016E-5</v>
      </c>
      <c r="CE42">
        <f t="shared" si="24"/>
        <v>8.2131671693586904E-5</v>
      </c>
      <c r="CF42">
        <f t="shared" si="25"/>
        <v>8.3288498138059082E-4</v>
      </c>
      <c r="CG42">
        <f t="shared" si="26"/>
        <v>5.9380847198559465E-5</v>
      </c>
      <c r="CH42">
        <f t="shared" si="27"/>
        <v>2.5773714160200167E-5</v>
      </c>
      <c r="CI42">
        <f t="shared" si="28"/>
        <v>4.5876620883852947E-4</v>
      </c>
      <c r="CJ42">
        <f t="shared" si="29"/>
        <v>1.0194946231125629E-6</v>
      </c>
      <c r="CK42">
        <f t="shared" si="30"/>
        <v>7.4841923963710489E-6</v>
      </c>
      <c r="CL42">
        <f t="shared" si="31"/>
        <v>1.0856369706174376E-4</v>
      </c>
      <c r="CM42">
        <f t="shared" si="32"/>
        <v>1.0141653937007208E-4</v>
      </c>
      <c r="CN42">
        <f t="shared" si="33"/>
        <v>2.5795684276609546E-4</v>
      </c>
      <c r="CO42">
        <f t="shared" si="34"/>
        <v>3.2040996654797925E-4</v>
      </c>
      <c r="CP42">
        <f t="shared" si="35"/>
        <v>4.3420493332419784E-5</v>
      </c>
      <c r="CQ42">
        <f t="shared" si="36"/>
        <v>7.8702383125911473E-3</v>
      </c>
      <c r="CR42">
        <f t="shared" si="37"/>
        <v>3.1248726685838865E-4</v>
      </c>
      <c r="CS42" s="25">
        <f t="shared" si="40"/>
        <v>2.6423989761061176E-3</v>
      </c>
    </row>
    <row r="43" spans="1:97" x14ac:dyDescent="0.25">
      <c r="A43" s="14"/>
      <c r="B43" s="11"/>
      <c r="C43" t="s">
        <v>40</v>
      </c>
      <c r="D43">
        <v>0.57526708000000004</v>
      </c>
      <c r="E43">
        <v>7.8502795699999997</v>
      </c>
      <c r="F43">
        <v>0.51783358999999995</v>
      </c>
      <c r="G43">
        <v>4.2776222199999996</v>
      </c>
      <c r="H43">
        <v>1.78203782</v>
      </c>
      <c r="I43">
        <v>2.6860581300000002</v>
      </c>
      <c r="J43">
        <v>1.9689391199999999</v>
      </c>
      <c r="K43">
        <v>3.64679566</v>
      </c>
      <c r="L43">
        <v>1.2062588000000001</v>
      </c>
      <c r="M43">
        <v>11.505774130000001</v>
      </c>
      <c r="N43">
        <v>8.0731803000000006</v>
      </c>
      <c r="O43">
        <v>3.2433967400000001</v>
      </c>
      <c r="P43">
        <v>8.2741470499999998</v>
      </c>
      <c r="Q43">
        <v>4.4138172999999998</v>
      </c>
      <c r="R43">
        <v>4.0108954399999996</v>
      </c>
      <c r="S43">
        <v>6.6903416800000004</v>
      </c>
      <c r="T43">
        <v>8.0333976699999994</v>
      </c>
      <c r="U43">
        <v>0.97036458000000003</v>
      </c>
      <c r="V43">
        <v>0.67046437999999997</v>
      </c>
      <c r="W43">
        <v>0.28607034999999997</v>
      </c>
      <c r="X43">
        <v>5.0288747799999998</v>
      </c>
      <c r="Y43">
        <v>0.28208621</v>
      </c>
      <c r="Z43">
        <v>2.2131812599999998</v>
      </c>
      <c r="AA43">
        <v>12.77599717</v>
      </c>
      <c r="AB43">
        <v>9.89727347</v>
      </c>
      <c r="AC43">
        <v>17.590196219999999</v>
      </c>
      <c r="AD43">
        <v>5.2469551000000001</v>
      </c>
      <c r="AE43">
        <v>1.28331141</v>
      </c>
      <c r="AF43">
        <v>0.75049208999999995</v>
      </c>
      <c r="AG43">
        <v>1.45386459</v>
      </c>
      <c r="AH43">
        <v>29.13003702</v>
      </c>
      <c r="AI43">
        <v>11.388594550000001</v>
      </c>
      <c r="AJ43">
        <v>4.6209073299999996</v>
      </c>
      <c r="AK43">
        <v>3.9097196599999999</v>
      </c>
      <c r="AL43">
        <v>1.2177917300000001</v>
      </c>
      <c r="AM43">
        <v>5.4551117199999997</v>
      </c>
      <c r="AN43">
        <v>0.57632812</v>
      </c>
      <c r="AO43">
        <v>7.3567548800000004</v>
      </c>
      <c r="AP43">
        <v>24.86261992</v>
      </c>
      <c r="AQ43">
        <v>4.1314701899999999</v>
      </c>
      <c r="AR43">
        <v>131.25203550000001</v>
      </c>
      <c r="AS43">
        <v>64.001301290000001</v>
      </c>
      <c r="AT43" s="4">
        <v>58.610903329999999</v>
      </c>
      <c r="AU43" s="1">
        <v>0</v>
      </c>
      <c r="AV43" s="1">
        <v>1879.28982533</v>
      </c>
      <c r="AW43" s="1">
        <v>1788.6602476099999</v>
      </c>
      <c r="AX43" s="1">
        <v>32.018674390000001</v>
      </c>
      <c r="AY43" s="4">
        <v>2304.39767115</v>
      </c>
      <c r="AZ43">
        <f t="shared" si="38"/>
        <v>2304.39767115</v>
      </c>
      <c r="BB43" s="18"/>
      <c r="BC43" s="4" t="s">
        <v>40</v>
      </c>
      <c r="BD43">
        <f t="shared" si="39"/>
        <v>4.7819530318709197E-4</v>
      </c>
      <c r="BE43">
        <f t="shared" si="39"/>
        <v>1.068999468660066E-3</v>
      </c>
      <c r="BF43">
        <f t="shared" si="0"/>
        <v>6.1034493273071143E-4</v>
      </c>
      <c r="BG43">
        <f t="shared" si="1"/>
        <v>3.7290254211551794E-4</v>
      </c>
      <c r="BH43">
        <f t="shared" si="2"/>
        <v>5.818199912471947E-4</v>
      </c>
      <c r="BI43">
        <f t="shared" si="3"/>
        <v>8.0030183179560365E-4</v>
      </c>
      <c r="BJ43">
        <f t="shared" si="4"/>
        <v>6.7552203143974915E-4</v>
      </c>
      <c r="BK43">
        <f t="shared" si="5"/>
        <v>8.0362900557969332E-4</v>
      </c>
      <c r="BL43">
        <f t="shared" si="6"/>
        <v>2.1373706112996673E-4</v>
      </c>
      <c r="BM43">
        <f>M43/M$92</f>
        <v>6.4273642741759468E-4</v>
      </c>
      <c r="BN43">
        <f t="shared" si="7"/>
        <v>5.3065267598451603E-4</v>
      </c>
      <c r="BO43">
        <f t="shared" si="8"/>
        <v>4.8669508717580796E-4</v>
      </c>
      <c r="BP43">
        <f t="shared" si="9"/>
        <v>1.2150659218650385E-3</v>
      </c>
      <c r="BQ43">
        <f t="shared" si="10"/>
        <v>8.7152581997338243E-4</v>
      </c>
      <c r="BR43">
        <f t="shared" si="11"/>
        <v>3.2562101478788007E-4</v>
      </c>
      <c r="BS43">
        <f t="shared" si="12"/>
        <v>5.8808975175585166E-4</v>
      </c>
      <c r="BT43">
        <f t="shared" si="13"/>
        <v>5.2538551033033285E-4</v>
      </c>
      <c r="BU43">
        <f t="shared" si="14"/>
        <v>7.2524247672274003E-4</v>
      </c>
      <c r="BV43">
        <f t="shared" si="15"/>
        <v>3.7507386174719028E-4</v>
      </c>
      <c r="BW43">
        <f t="shared" si="16"/>
        <v>5.7887140667909232E-4</v>
      </c>
      <c r="BX43">
        <f t="shared" si="17"/>
        <v>5.0200516834254371E-4</v>
      </c>
      <c r="BY43">
        <f t="shared" si="18"/>
        <v>1.3344167077744312E-4</v>
      </c>
      <c r="BZ43">
        <f t="shared" si="19"/>
        <v>3.7217385456888145E-3</v>
      </c>
      <c r="CA43">
        <f t="shared" si="20"/>
        <v>4.138492516785886E-4</v>
      </c>
      <c r="CB43">
        <f t="shared" si="21"/>
        <v>5.3706591144573386E-4</v>
      </c>
      <c r="CC43">
        <f t="shared" si="22"/>
        <v>1.1074014462334105E-3</v>
      </c>
      <c r="CD43">
        <f t="shared" si="23"/>
        <v>8.0835038204086845E-4</v>
      </c>
      <c r="CE43">
        <f t="shared" si="24"/>
        <v>8.0316879954259911E-5</v>
      </c>
      <c r="CF43">
        <f t="shared" si="25"/>
        <v>2.0252933650281667E-4</v>
      </c>
      <c r="CG43">
        <f t="shared" si="26"/>
        <v>8.8298742144949337E-4</v>
      </c>
      <c r="CH43">
        <f t="shared" si="27"/>
        <v>1.7379703785455295E-3</v>
      </c>
      <c r="CI43">
        <f t="shared" si="28"/>
        <v>8.9583982980567269E-4</v>
      </c>
      <c r="CJ43">
        <f t="shared" si="29"/>
        <v>3.7459091317650165E-4</v>
      </c>
      <c r="CK43">
        <f t="shared" si="30"/>
        <v>2.6546470645622499E-4</v>
      </c>
      <c r="CL43">
        <f t="shared" si="31"/>
        <v>3.9832374404156075E-4</v>
      </c>
      <c r="CM43">
        <f t="shared" si="32"/>
        <v>8.0288240896862447E-4</v>
      </c>
      <c r="CN43">
        <f t="shared" si="33"/>
        <v>3.8302682331105926E-4</v>
      </c>
      <c r="CO43">
        <f t="shared" si="34"/>
        <v>1.4937257440747458E-3</v>
      </c>
      <c r="CP43">
        <f t="shared" si="35"/>
        <v>3.9168694253507181E-3</v>
      </c>
      <c r="CQ43">
        <f t="shared" si="36"/>
        <v>6.5606805344394946E-4</v>
      </c>
      <c r="CR43">
        <f t="shared" si="37"/>
        <v>5.6957198466867698E-2</v>
      </c>
      <c r="CS43" s="25">
        <f t="shared" si="40"/>
        <v>6.3950601011848488E-3</v>
      </c>
    </row>
    <row r="44" spans="1:97" x14ac:dyDescent="0.25">
      <c r="A44" s="14"/>
      <c r="B44" s="12"/>
      <c r="C44" s="5" t="s">
        <v>41</v>
      </c>
      <c r="D44" s="3">
        <v>0.20453621</v>
      </c>
      <c r="E44" s="3">
        <v>2.6147077200000002</v>
      </c>
      <c r="F44" s="3">
        <v>0.26960856999999999</v>
      </c>
      <c r="G44" s="3">
        <v>1.73106173</v>
      </c>
      <c r="H44" s="3">
        <v>0.78193608000000003</v>
      </c>
      <c r="I44" s="3">
        <v>0.73593969000000004</v>
      </c>
      <c r="J44" s="3">
        <v>0.53292899000000005</v>
      </c>
      <c r="K44" s="3">
        <v>0.90965079999999998</v>
      </c>
      <c r="L44" s="3">
        <v>0.40341334000000001</v>
      </c>
      <c r="M44" s="3">
        <v>3.7419540499999999</v>
      </c>
      <c r="N44" s="3">
        <v>1.7338234800000001</v>
      </c>
      <c r="O44" s="3">
        <v>1.8158139200000001</v>
      </c>
      <c r="P44" s="3">
        <v>1.85003151</v>
      </c>
      <c r="Q44" s="3">
        <v>1.3505888699999999</v>
      </c>
      <c r="R44" s="3">
        <v>1.7935578700000001</v>
      </c>
      <c r="S44" s="3">
        <v>1.5785785299999999</v>
      </c>
      <c r="T44" s="3">
        <v>2.58190681</v>
      </c>
      <c r="U44" s="3">
        <v>0.21945405000000001</v>
      </c>
      <c r="V44" s="3">
        <v>1.12888173</v>
      </c>
      <c r="W44" s="3">
        <v>0.17978390999999999</v>
      </c>
      <c r="X44" s="3">
        <v>1.87381818</v>
      </c>
      <c r="Y44" s="3">
        <v>0.31414329000000002</v>
      </c>
      <c r="Z44" s="3">
        <v>0.31341982000000002</v>
      </c>
      <c r="AA44" s="3">
        <v>2.6516740099999998</v>
      </c>
      <c r="AB44" s="3">
        <v>1.7086741299999999</v>
      </c>
      <c r="AC44" s="3">
        <v>2.7289852899999998</v>
      </c>
      <c r="AD44" s="3">
        <v>1.19804793</v>
      </c>
      <c r="AE44" s="3">
        <v>3.3320810600000002</v>
      </c>
      <c r="AF44" s="3">
        <v>0.55767361999999998</v>
      </c>
      <c r="AG44" s="3">
        <v>0.14882182999999999</v>
      </c>
      <c r="AH44" s="3">
        <v>3.1965405800000002</v>
      </c>
      <c r="AI44" s="3">
        <v>6.8757531399999996</v>
      </c>
      <c r="AJ44" s="3">
        <v>6.8985891099999996</v>
      </c>
      <c r="AK44" s="3">
        <v>9.9991973400000003</v>
      </c>
      <c r="AL44" s="3">
        <v>1.2774096699999999</v>
      </c>
      <c r="AM44" s="3">
        <v>3.85629394</v>
      </c>
      <c r="AN44" s="3">
        <v>1.0947642200000001</v>
      </c>
      <c r="AO44" s="3">
        <v>1.43557314</v>
      </c>
      <c r="AP44" s="3">
        <v>3.4136255200000001</v>
      </c>
      <c r="AQ44" s="3">
        <v>1.2477314900000001</v>
      </c>
      <c r="AR44" s="3">
        <v>1.4099825800000001</v>
      </c>
      <c r="AS44" s="20">
        <v>72.097697080000003</v>
      </c>
      <c r="AT44" s="5">
        <v>0</v>
      </c>
      <c r="AU44" s="3">
        <v>0</v>
      </c>
      <c r="AV44" s="3">
        <v>9854.1393829499993</v>
      </c>
      <c r="AW44" s="3">
        <v>9843.5508458299992</v>
      </c>
      <c r="AX44" s="3">
        <v>10.58853712</v>
      </c>
      <c r="AY44" s="5">
        <v>10007.92803779</v>
      </c>
      <c r="AZ44" s="3">
        <f t="shared" si="38"/>
        <v>10007.928037779999</v>
      </c>
      <c r="BA44" s="3"/>
      <c r="BB44" s="19"/>
      <c r="BC44" s="5" t="s">
        <v>41</v>
      </c>
      <c r="BD44" s="3">
        <f t="shared" si="39"/>
        <v>1.7002233980378071E-4</v>
      </c>
      <c r="BE44" s="3">
        <f t="shared" si="39"/>
        <v>3.5605370973831098E-4</v>
      </c>
      <c r="BF44" s="3">
        <f t="shared" si="0"/>
        <v>3.1777433464730113E-4</v>
      </c>
      <c r="BG44" s="3">
        <f t="shared" si="1"/>
        <v>1.5090564020772419E-4</v>
      </c>
      <c r="BH44" s="3">
        <f t="shared" si="2"/>
        <v>2.5529539166652804E-4</v>
      </c>
      <c r="BI44" s="3">
        <f t="shared" si="3"/>
        <v>2.192707132507548E-4</v>
      </c>
      <c r="BJ44" s="3">
        <f t="shared" si="4"/>
        <v>1.8284225768135169E-4</v>
      </c>
      <c r="BK44" s="3">
        <f t="shared" si="5"/>
        <v>2.004559169155018E-4</v>
      </c>
      <c r="BL44" s="3">
        <f t="shared" si="6"/>
        <v>7.1480831238059396E-5</v>
      </c>
      <c r="BM44" s="3">
        <f>M44/M$92</f>
        <v>2.0903332105110596E-4</v>
      </c>
      <c r="BN44" s="3">
        <f t="shared" si="7"/>
        <v>1.1396476173668338E-4</v>
      </c>
      <c r="BO44" s="3">
        <f t="shared" si="8"/>
        <v>2.7247598272218948E-4</v>
      </c>
      <c r="BP44" s="3">
        <f t="shared" si="9"/>
        <v>2.7167878798788325E-4</v>
      </c>
      <c r="BQ44" s="3">
        <f t="shared" si="10"/>
        <v>2.6667915601619348E-4</v>
      </c>
      <c r="BR44" s="3">
        <f t="shared" si="11"/>
        <v>1.4560841648621705E-4</v>
      </c>
      <c r="BS44" s="3">
        <f t="shared" si="12"/>
        <v>1.3875910980899517E-4</v>
      </c>
      <c r="BT44" s="3">
        <f t="shared" si="13"/>
        <v>1.6885712406133281E-4</v>
      </c>
      <c r="BU44" s="3">
        <f t="shared" si="14"/>
        <v>1.6401814537463438E-4</v>
      </c>
      <c r="BV44" s="3">
        <f t="shared" si="15"/>
        <v>6.3152352691271836E-4</v>
      </c>
      <c r="BW44" s="3">
        <f t="shared" si="16"/>
        <v>3.6379780316263927E-4</v>
      </c>
      <c r="BX44" s="3">
        <f t="shared" si="17"/>
        <v>1.8705305899349096E-4</v>
      </c>
      <c r="BY44" s="3">
        <f t="shared" si="18"/>
        <v>1.4860636215121201E-4</v>
      </c>
      <c r="BZ44" s="3">
        <f t="shared" si="19"/>
        <v>5.2705426625420195E-4</v>
      </c>
      <c r="CA44" s="3">
        <f t="shared" si="20"/>
        <v>8.5894923905502262E-5</v>
      </c>
      <c r="CB44" s="3">
        <f t="shared" si="21"/>
        <v>9.2719538545012667E-5</v>
      </c>
      <c r="CC44" s="3">
        <f t="shared" si="22"/>
        <v>1.7180492014407461E-4</v>
      </c>
      <c r="CD44" s="3">
        <f t="shared" si="23"/>
        <v>1.8457228687144124E-4</v>
      </c>
      <c r="CE44" s="3">
        <f t="shared" si="24"/>
        <v>2.0854046212671258E-4</v>
      </c>
      <c r="CF44" s="3">
        <f t="shared" si="25"/>
        <v>1.5049494824618861E-4</v>
      </c>
      <c r="CG44" s="3">
        <f t="shared" si="26"/>
        <v>9.0385173991406484E-5</v>
      </c>
      <c r="CH44" s="3">
        <f t="shared" si="27"/>
        <v>1.9071355240793124E-4</v>
      </c>
      <c r="CI44" s="3">
        <f t="shared" si="28"/>
        <v>5.4085458005205913E-4</v>
      </c>
      <c r="CJ44" s="3">
        <f t="shared" si="29"/>
        <v>5.592297377546349E-4</v>
      </c>
      <c r="CK44" s="3">
        <f t="shared" si="30"/>
        <v>6.7893205076012162E-4</v>
      </c>
      <c r="CL44" s="3">
        <f t="shared" si="31"/>
        <v>4.1782399230884458E-4</v>
      </c>
      <c r="CM44" s="3">
        <f t="shared" si="32"/>
        <v>5.6756868184512795E-4</v>
      </c>
      <c r="CN44" s="3">
        <f t="shared" si="33"/>
        <v>7.2757869503436632E-4</v>
      </c>
      <c r="CO44" s="3">
        <f t="shared" si="34"/>
        <v>2.9148076722657084E-4</v>
      </c>
      <c r="CP44" s="3">
        <f t="shared" si="35"/>
        <v>5.3778425089180822E-4</v>
      </c>
      <c r="CQ44" s="3">
        <f t="shared" si="36"/>
        <v>1.9813691790549233E-4</v>
      </c>
      <c r="CR44" s="3">
        <f t="shared" si="37"/>
        <v>6.1186599764303205E-4</v>
      </c>
      <c r="CS44" s="20">
        <f t="shared" si="40"/>
        <v>7.2040583033529662E-3</v>
      </c>
    </row>
    <row r="45" spans="1:97" x14ac:dyDescent="0.25">
      <c r="A45" s="14"/>
      <c r="B45" s="22" t="s">
        <v>44</v>
      </c>
      <c r="C45" t="s">
        <v>0</v>
      </c>
      <c r="D45">
        <v>123.69985826999999</v>
      </c>
      <c r="E45">
        <v>2.7047283499999999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1.021356E-2</v>
      </c>
      <c r="M45">
        <v>0.85968661999999996</v>
      </c>
      <c r="N45">
        <v>1398.01224052</v>
      </c>
      <c r="O45">
        <v>0.11399494</v>
      </c>
      <c r="P45">
        <v>0</v>
      </c>
      <c r="Q45">
        <v>0</v>
      </c>
      <c r="R45">
        <v>0</v>
      </c>
      <c r="S45">
        <v>0</v>
      </c>
      <c r="T45">
        <v>2.8430000000000001E-5</v>
      </c>
      <c r="U45">
        <v>0</v>
      </c>
      <c r="V45">
        <v>1.68717E-3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2.5473E-4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 s="4">
        <v>0</v>
      </c>
      <c r="AU45">
        <v>121.62246951</v>
      </c>
      <c r="AV45">
        <v>145.97209724000001</v>
      </c>
      <c r="AW45">
        <v>0</v>
      </c>
      <c r="AX45">
        <v>24.349627730000002</v>
      </c>
      <c r="AY45" s="4">
        <v>0</v>
      </c>
      <c r="AZ45">
        <f t="shared" si="38"/>
        <v>1671.3747898300001</v>
      </c>
      <c r="BB45" s="17" t="s">
        <v>61</v>
      </c>
      <c r="BC45" s="4" t="s">
        <v>0</v>
      </c>
      <c r="BD45" s="1">
        <f>D45/D$92</f>
        <v>0.10282648405610652</v>
      </c>
      <c r="BE45" s="1">
        <f t="shared" ref="BE45:BE86" si="41">E45/E$92</f>
        <v>3.6831212738832648E-4</v>
      </c>
      <c r="BF45" s="1">
        <f t="shared" si="0"/>
        <v>0</v>
      </c>
      <c r="BG45" s="1">
        <f t="shared" si="1"/>
        <v>0</v>
      </c>
      <c r="BH45" s="1">
        <f t="shared" si="2"/>
        <v>0</v>
      </c>
      <c r="BI45" s="1">
        <f t="shared" si="3"/>
        <v>0</v>
      </c>
      <c r="BJ45" s="1">
        <f t="shared" si="4"/>
        <v>0</v>
      </c>
      <c r="BK45" s="1">
        <f t="shared" si="5"/>
        <v>0</v>
      </c>
      <c r="BL45" s="1">
        <f t="shared" si="6"/>
        <v>1.8097412413278003E-6</v>
      </c>
      <c r="BM45" s="1">
        <f>M45/M$92</f>
        <v>4.8023879192690816E-5</v>
      </c>
      <c r="BN45" s="1">
        <f t="shared" si="7"/>
        <v>9.189178352563819E-2</v>
      </c>
      <c r="BO45" s="1">
        <f t="shared" si="8"/>
        <v>1.7105763404356446E-5</v>
      </c>
      <c r="BP45" s="1">
        <f t="shared" si="9"/>
        <v>0</v>
      </c>
      <c r="BQ45" s="1">
        <f t="shared" si="10"/>
        <v>0</v>
      </c>
      <c r="BR45" s="1">
        <f t="shared" si="11"/>
        <v>0</v>
      </c>
      <c r="BS45" s="1">
        <f t="shared" si="12"/>
        <v>0</v>
      </c>
      <c r="BT45" s="1">
        <f t="shared" si="13"/>
        <v>1.8593266102674294E-9</v>
      </c>
      <c r="BU45" s="1">
        <f t="shared" si="14"/>
        <v>0</v>
      </c>
      <c r="BV45" s="1">
        <f t="shared" si="15"/>
        <v>9.4384338109655741E-7</v>
      </c>
      <c r="BW45" s="1">
        <f t="shared" si="16"/>
        <v>0</v>
      </c>
      <c r="BX45" s="1">
        <f t="shared" si="17"/>
        <v>0</v>
      </c>
      <c r="BY45" s="1">
        <f t="shared" si="18"/>
        <v>0</v>
      </c>
      <c r="BZ45" s="1">
        <f t="shared" si="19"/>
        <v>0</v>
      </c>
      <c r="CA45" s="1">
        <f t="shared" si="20"/>
        <v>0</v>
      </c>
      <c r="CB45" s="1">
        <f t="shared" si="21"/>
        <v>0</v>
      </c>
      <c r="CC45" s="1">
        <f t="shared" si="22"/>
        <v>0</v>
      </c>
      <c r="CD45" s="1">
        <f t="shared" si="23"/>
        <v>0</v>
      </c>
      <c r="CE45" s="1">
        <f t="shared" si="24"/>
        <v>0</v>
      </c>
      <c r="CF45" s="1">
        <f t="shared" si="25"/>
        <v>0</v>
      </c>
      <c r="CG45" s="1">
        <f t="shared" si="26"/>
        <v>0</v>
      </c>
      <c r="CH45" s="1">
        <f t="shared" si="27"/>
        <v>0</v>
      </c>
      <c r="CI45" s="1">
        <f t="shared" si="28"/>
        <v>0</v>
      </c>
      <c r="CJ45" s="1">
        <f t="shared" si="29"/>
        <v>0</v>
      </c>
      <c r="CK45" s="1">
        <f t="shared" si="30"/>
        <v>0</v>
      </c>
      <c r="CL45" s="1">
        <f t="shared" si="31"/>
        <v>8.3318850686978109E-8</v>
      </c>
      <c r="CM45" s="1">
        <f t="shared" si="32"/>
        <v>0</v>
      </c>
      <c r="CN45" s="1">
        <f t="shared" si="33"/>
        <v>0</v>
      </c>
      <c r="CO45" s="1">
        <f t="shared" si="34"/>
        <v>0</v>
      </c>
      <c r="CP45" s="1">
        <f t="shared" si="35"/>
        <v>0</v>
      </c>
      <c r="CQ45" s="1">
        <f t="shared" si="36"/>
        <v>0</v>
      </c>
      <c r="CR45" s="1">
        <f t="shared" si="37"/>
        <v>0</v>
      </c>
      <c r="CS45" s="25">
        <f t="shared" si="40"/>
        <v>0</v>
      </c>
    </row>
    <row r="46" spans="1:97" x14ac:dyDescent="0.25">
      <c r="A46" s="14"/>
      <c r="B46" s="11"/>
      <c r="C46" t="s">
        <v>1</v>
      </c>
      <c r="D46">
        <v>6.4975299999999996E-3</v>
      </c>
      <c r="E46">
        <v>50.424548039999998</v>
      </c>
      <c r="F46">
        <v>9.4849299999999998E-2</v>
      </c>
      <c r="G46">
        <v>0.27311754999999999</v>
      </c>
      <c r="H46">
        <v>2.9918110000000001E-2</v>
      </c>
      <c r="I46">
        <v>6.3751119999999994E-2</v>
      </c>
      <c r="J46">
        <v>0.60532624000000002</v>
      </c>
      <c r="K46">
        <v>1.60065941</v>
      </c>
      <c r="L46">
        <v>0.26869600999999999</v>
      </c>
      <c r="M46">
        <v>2.5053650300000001</v>
      </c>
      <c r="N46">
        <v>0.74709798999999999</v>
      </c>
      <c r="O46">
        <v>1.0618480400000001</v>
      </c>
      <c r="P46">
        <v>1.9385350699999999</v>
      </c>
      <c r="Q46">
        <v>3.1593195000000001</v>
      </c>
      <c r="R46">
        <v>6.1909434599999997</v>
      </c>
      <c r="S46">
        <v>13.827904739999999</v>
      </c>
      <c r="T46">
        <v>19.841692129999998</v>
      </c>
      <c r="U46">
        <v>1.2681284100000001</v>
      </c>
      <c r="V46">
        <v>0.46029499000000001</v>
      </c>
      <c r="W46">
        <v>1.7634300000000001E-3</v>
      </c>
      <c r="X46">
        <v>1.4951539999999999E-2</v>
      </c>
      <c r="Y46">
        <v>7.2623000000000002E-4</v>
      </c>
      <c r="Z46">
        <v>3.6160000000000001E-4</v>
      </c>
      <c r="AA46">
        <v>6.3576586800000001</v>
      </c>
      <c r="AB46">
        <v>6.1974500000000002E-3</v>
      </c>
      <c r="AC46">
        <v>6.1021799999999996E-3</v>
      </c>
      <c r="AD46">
        <v>1.5760860000000002E-2</v>
      </c>
      <c r="AE46">
        <v>1.5338910000000001E-2</v>
      </c>
      <c r="AF46">
        <v>4.8347199999999998E-3</v>
      </c>
      <c r="AG46">
        <v>9.0589000000000002E-4</v>
      </c>
      <c r="AH46">
        <v>7.1044100000000002E-3</v>
      </c>
      <c r="AI46">
        <v>4.0911899999999998E-3</v>
      </c>
      <c r="AJ46">
        <v>6.6277470000000005E-2</v>
      </c>
      <c r="AK46">
        <v>1.115649E-2</v>
      </c>
      <c r="AL46">
        <v>0.31532428000000001</v>
      </c>
      <c r="AM46">
        <v>2.0608580000000001E-2</v>
      </c>
      <c r="AN46">
        <v>1.298583E-2</v>
      </c>
      <c r="AO46">
        <v>4.4132199999999998E-3</v>
      </c>
      <c r="AP46">
        <v>2.4348849999999998E-2</v>
      </c>
      <c r="AQ46">
        <v>3.87419E-3</v>
      </c>
      <c r="AR46">
        <v>1.0074999999999999E-3</v>
      </c>
      <c r="AS46">
        <v>3.80782E-3</v>
      </c>
      <c r="AT46" s="4">
        <v>0</v>
      </c>
      <c r="AU46">
        <v>0.77130752000000002</v>
      </c>
      <c r="AV46">
        <v>10.565035590000001</v>
      </c>
      <c r="AW46">
        <v>4.5788878799999999</v>
      </c>
      <c r="AX46">
        <v>5.2148402000000003</v>
      </c>
      <c r="AY46" s="4">
        <v>0</v>
      </c>
      <c r="AZ46">
        <f t="shared" si="38"/>
        <v>121.83312957999999</v>
      </c>
      <c r="BB46" s="21"/>
      <c r="BC46" s="4" t="s">
        <v>1</v>
      </c>
      <c r="BD46" s="1">
        <f t="shared" ref="BD46:BD86" si="42">D46/D$92</f>
        <v>5.4011231240925962E-6</v>
      </c>
      <c r="BE46" s="1">
        <f t="shared" si="41"/>
        <v>6.8664834903687348E-3</v>
      </c>
      <c r="BF46" s="1">
        <f t="shared" si="0"/>
        <v>1.1179419556011242E-4</v>
      </c>
      <c r="BG46" s="1">
        <f t="shared" si="1"/>
        <v>2.3809075101391745E-5</v>
      </c>
      <c r="BH46" s="1">
        <f t="shared" si="2"/>
        <v>9.7680050911223703E-6</v>
      </c>
      <c r="BI46" s="1">
        <f t="shared" si="3"/>
        <v>1.8994428134368535E-5</v>
      </c>
      <c r="BJ46" s="1">
        <f t="shared" si="4"/>
        <v>2.0768098270533889E-4</v>
      </c>
      <c r="BK46" s="1">
        <f t="shared" si="5"/>
        <v>3.5273057496456456E-4</v>
      </c>
      <c r="BL46" s="1">
        <f t="shared" si="6"/>
        <v>4.7610260347736445E-5</v>
      </c>
      <c r="BM46" s="1">
        <f>M46/M$92</f>
        <v>1.3995489139322908E-4</v>
      </c>
      <c r="BN46" s="1">
        <f t="shared" si="7"/>
        <v>4.910698546100267E-5</v>
      </c>
      <c r="BO46" s="1">
        <f t="shared" si="8"/>
        <v>1.5933796134828107E-4</v>
      </c>
      <c r="BP46" s="1">
        <f t="shared" si="9"/>
        <v>2.8467561522214631E-4</v>
      </c>
      <c r="BQ46" s="1">
        <f t="shared" si="10"/>
        <v>6.2382022876103114E-4</v>
      </c>
      <c r="BR46" s="1">
        <f t="shared" si="11"/>
        <v>5.0260629380545247E-4</v>
      </c>
      <c r="BS46" s="1">
        <f t="shared" si="12"/>
        <v>1.2154908455811728E-3</v>
      </c>
      <c r="BT46" s="1">
        <f t="shared" si="13"/>
        <v>1.297649882871714E-3</v>
      </c>
      <c r="BU46" s="1">
        <f t="shared" si="14"/>
        <v>9.4778870522136164E-4</v>
      </c>
      <c r="BV46" s="1">
        <f t="shared" si="15"/>
        <v>2.5750006203489043E-4</v>
      </c>
      <c r="BW46" s="1">
        <f t="shared" si="16"/>
        <v>3.5683502490912177E-6</v>
      </c>
      <c r="BX46" s="1">
        <f t="shared" si="17"/>
        <v>1.4925307714025592E-6</v>
      </c>
      <c r="BY46" s="1">
        <f t="shared" si="18"/>
        <v>3.4354513313040904E-7</v>
      </c>
      <c r="BZ46" s="1">
        <f t="shared" si="19"/>
        <v>6.0807520940290066E-7</v>
      </c>
      <c r="CA46" s="1">
        <f t="shared" si="20"/>
        <v>2.0594183390429502E-4</v>
      </c>
      <c r="CB46" s="1">
        <f t="shared" si="21"/>
        <v>3.3629859202924126E-7</v>
      </c>
      <c r="CC46" s="1">
        <f t="shared" si="22"/>
        <v>3.8416643411250092E-7</v>
      </c>
      <c r="CD46" s="1">
        <f t="shared" si="23"/>
        <v>2.4281315466741166E-6</v>
      </c>
      <c r="CE46" s="1">
        <f t="shared" si="24"/>
        <v>9.5999566706821154E-7</v>
      </c>
      <c r="CF46" s="1">
        <f t="shared" si="25"/>
        <v>1.3047074670392567E-6</v>
      </c>
      <c r="CG46" s="1">
        <f t="shared" si="26"/>
        <v>5.5018155110090516E-7</v>
      </c>
      <c r="CH46" s="1">
        <f t="shared" si="27"/>
        <v>4.238667506177665E-7</v>
      </c>
      <c r="CI46" s="1">
        <f t="shared" si="28"/>
        <v>3.2181766917873721E-7</v>
      </c>
      <c r="CJ46" s="1">
        <f t="shared" si="29"/>
        <v>5.3727409440016184E-6</v>
      </c>
      <c r="CK46" s="1">
        <f t="shared" si="30"/>
        <v>7.5751066584958399E-7</v>
      </c>
      <c r="CL46" s="1">
        <f t="shared" si="31"/>
        <v>1.0313844699603063E-4</v>
      </c>
      <c r="CM46" s="1">
        <f t="shared" si="32"/>
        <v>3.033167275962337E-6</v>
      </c>
      <c r="CN46" s="1">
        <f t="shared" si="33"/>
        <v>8.630363573024084E-6</v>
      </c>
      <c r="CO46" s="1">
        <f t="shared" si="34"/>
        <v>8.960663275851253E-7</v>
      </c>
      <c r="CP46" s="1">
        <f t="shared" si="35"/>
        <v>3.8359298583305068E-6</v>
      </c>
      <c r="CQ46" s="1">
        <f t="shared" si="36"/>
        <v>6.1521254543337629E-7</v>
      </c>
      <c r="CR46" s="1">
        <f t="shared" si="37"/>
        <v>4.3720752395774613E-7</v>
      </c>
      <c r="CS46" s="25">
        <f t="shared" si="40"/>
        <v>3.8048035373772148E-7</v>
      </c>
    </row>
    <row r="47" spans="1:97" x14ac:dyDescent="0.25">
      <c r="A47" s="14"/>
      <c r="B47" s="11"/>
      <c r="C47" t="s">
        <v>2</v>
      </c>
      <c r="D47">
        <v>1.0606910000000001E-2</v>
      </c>
      <c r="E47">
        <v>55.396763900000003</v>
      </c>
      <c r="F47">
        <v>2.3735390600000001</v>
      </c>
      <c r="G47">
        <v>2.075958E-2</v>
      </c>
      <c r="H47">
        <v>1.348501E-2</v>
      </c>
      <c r="I47">
        <v>2.0143390000000001E-2</v>
      </c>
      <c r="J47">
        <v>7.4403000000000004E-3</v>
      </c>
      <c r="K47">
        <v>1.7671388100000001</v>
      </c>
      <c r="L47">
        <v>5.6363699999999999E-3</v>
      </c>
      <c r="M47">
        <v>85.023189239999994</v>
      </c>
      <c r="N47">
        <v>0.25726026000000002</v>
      </c>
      <c r="O47">
        <v>0.47765414</v>
      </c>
      <c r="P47">
        <v>6.1803200000000004E-3</v>
      </c>
      <c r="Q47">
        <v>1.1383310000000001E-2</v>
      </c>
      <c r="R47">
        <v>0.32220837000000002</v>
      </c>
      <c r="S47">
        <v>3.6526256400000001</v>
      </c>
      <c r="T47">
        <v>4.5674699999999997E-3</v>
      </c>
      <c r="U47">
        <v>0.46040131000000001</v>
      </c>
      <c r="V47">
        <v>4.8429600000000003E-2</v>
      </c>
      <c r="W47">
        <v>1.16435E-3</v>
      </c>
      <c r="X47">
        <v>4.4837399999999999E-3</v>
      </c>
      <c r="Y47">
        <v>0</v>
      </c>
      <c r="Z47">
        <v>0</v>
      </c>
      <c r="AA47">
        <v>10.964775380000001</v>
      </c>
      <c r="AB47">
        <v>3.6997000000000001E-4</v>
      </c>
      <c r="AC47">
        <v>3.0791999999999999E-4</v>
      </c>
      <c r="AD47">
        <v>4.9650000000000001E-5</v>
      </c>
      <c r="AE47">
        <v>1.166202E-2</v>
      </c>
      <c r="AF47">
        <v>1.47759E-3</v>
      </c>
      <c r="AG47">
        <v>2.5099799999999999E-2</v>
      </c>
      <c r="AH47">
        <v>6.7000000000000004E-7</v>
      </c>
      <c r="AI47">
        <v>6.2700000000000001E-6</v>
      </c>
      <c r="AJ47">
        <v>9.14564E-3</v>
      </c>
      <c r="AK47">
        <v>1.579E-5</v>
      </c>
      <c r="AL47">
        <v>7.3906999999999998E-4</v>
      </c>
      <c r="AM47">
        <v>7.6420000000000004E-5</v>
      </c>
      <c r="AN47">
        <v>7.0049999999999995E-5</v>
      </c>
      <c r="AO47">
        <v>4.905E-5</v>
      </c>
      <c r="AP47">
        <v>7.4328999999999997E-4</v>
      </c>
      <c r="AQ47">
        <v>8.8300000000000002E-6</v>
      </c>
      <c r="AR47">
        <v>3.3519999999999998E-5</v>
      </c>
      <c r="AS47">
        <v>4.6529999999999997E-5</v>
      </c>
      <c r="AT47" s="4">
        <v>0</v>
      </c>
      <c r="AU47">
        <v>8.5643175100000004</v>
      </c>
      <c r="AV47">
        <v>9.0091320600000007</v>
      </c>
      <c r="AW47">
        <v>0</v>
      </c>
      <c r="AX47">
        <v>0.44481453999999998</v>
      </c>
      <c r="AY47" s="4">
        <v>0</v>
      </c>
      <c r="AZ47">
        <f t="shared" si="38"/>
        <v>169.90887060000006</v>
      </c>
      <c r="BB47" s="21"/>
      <c r="BC47" s="4" t="s">
        <v>2</v>
      </c>
      <c r="BD47" s="1">
        <f t="shared" si="42"/>
        <v>8.8170777012447817E-6</v>
      </c>
      <c r="BE47" s="1">
        <f t="shared" si="41"/>
        <v>7.5435671617217481E-3</v>
      </c>
      <c r="BF47" s="1">
        <f t="shared" si="0"/>
        <v>2.7975735176032444E-3</v>
      </c>
      <c r="BG47" s="1">
        <f t="shared" si="1"/>
        <v>1.8097203907011837E-6</v>
      </c>
      <c r="BH47" s="1">
        <f t="shared" si="2"/>
        <v>4.4027395558688727E-6</v>
      </c>
      <c r="BI47" s="1">
        <f t="shared" si="3"/>
        <v>6.0016541472143208E-6</v>
      </c>
      <c r="BJ47" s="1">
        <f t="shared" si="4"/>
        <v>2.5526876476105396E-6</v>
      </c>
      <c r="BK47" s="1">
        <f t="shared" si="5"/>
        <v>3.8941693941842159E-4</v>
      </c>
      <c r="BL47" s="1">
        <f t="shared" si="6"/>
        <v>9.9870870101930894E-7</v>
      </c>
      <c r="BM47" s="1">
        <f>M47/M$92</f>
        <v>4.7495718482149334E-3</v>
      </c>
      <c r="BN47" s="1">
        <f t="shared" si="7"/>
        <v>1.6909797665917649E-5</v>
      </c>
      <c r="BO47" s="1">
        <f t="shared" si="8"/>
        <v>7.1675450752036452E-5</v>
      </c>
      <c r="BP47" s="1">
        <f t="shared" si="9"/>
        <v>9.0758553997670803E-7</v>
      </c>
      <c r="BQ47" s="1">
        <f t="shared" si="10"/>
        <v>2.2476799349536294E-6</v>
      </c>
      <c r="BR47" s="1">
        <f t="shared" si="11"/>
        <v>2.6158202820801718E-5</v>
      </c>
      <c r="BS47" s="1">
        <f t="shared" si="12"/>
        <v>3.2107055343766225E-4</v>
      </c>
      <c r="BT47" s="1">
        <f t="shared" si="13"/>
        <v>2.9871327867035441E-7</v>
      </c>
      <c r="BU47" s="1">
        <f t="shared" si="14"/>
        <v>3.4410013847660639E-4</v>
      </c>
      <c r="BV47" s="1">
        <f t="shared" si="15"/>
        <v>2.7092680292533556E-5</v>
      </c>
      <c r="BW47" s="1">
        <f t="shared" si="16"/>
        <v>2.3560950037877088E-6</v>
      </c>
      <c r="BX47" s="1">
        <f t="shared" si="17"/>
        <v>4.4758733354346853E-7</v>
      </c>
      <c r="BY47" s="1">
        <f t="shared" si="18"/>
        <v>0</v>
      </c>
      <c r="BZ47" s="1">
        <f t="shared" si="19"/>
        <v>0</v>
      </c>
      <c r="CA47" s="1">
        <f t="shared" si="20"/>
        <v>3.5517885809275049E-4</v>
      </c>
      <c r="CB47" s="1">
        <f t="shared" si="21"/>
        <v>2.0076061943712074E-8</v>
      </c>
      <c r="CC47" s="1">
        <f t="shared" si="22"/>
        <v>1.9385289911461361E-8</v>
      </c>
      <c r="CD47" s="1">
        <f t="shared" si="23"/>
        <v>7.6491213862929987E-9</v>
      </c>
      <c r="CE47" s="1">
        <f t="shared" si="24"/>
        <v>7.2987511298148452E-7</v>
      </c>
      <c r="CF47" s="1">
        <f t="shared" si="25"/>
        <v>3.9874547155213443E-7</v>
      </c>
      <c r="CG47" s="1">
        <f t="shared" si="26"/>
        <v>1.5244065942137013E-5</v>
      </c>
      <c r="CH47" s="1">
        <f t="shared" si="27"/>
        <v>3.9973864531171988E-11</v>
      </c>
      <c r="CI47" s="1">
        <f t="shared" si="28"/>
        <v>4.9320534752741442E-10</v>
      </c>
      <c r="CJ47" s="1">
        <f t="shared" si="29"/>
        <v>7.4138548872035937E-7</v>
      </c>
      <c r="CK47" s="1">
        <f t="shared" si="30"/>
        <v>1.0721197629151222E-9</v>
      </c>
      <c r="CL47" s="1">
        <f t="shared" si="31"/>
        <v>2.417401286743804E-7</v>
      </c>
      <c r="CM47" s="1">
        <f t="shared" si="32"/>
        <v>1.1247482515973531E-8</v>
      </c>
      <c r="CN47" s="1">
        <f t="shared" si="33"/>
        <v>4.655512726489851E-8</v>
      </c>
      <c r="CO47" s="1">
        <f t="shared" si="34"/>
        <v>9.9591802285067131E-9</v>
      </c>
      <c r="CP47" s="1">
        <f t="shared" si="35"/>
        <v>1.1709827381574416E-7</v>
      </c>
      <c r="CQ47" s="1">
        <f t="shared" si="36"/>
        <v>1.402183882612033E-9</v>
      </c>
      <c r="CR47" s="1">
        <f t="shared" si="37"/>
        <v>1.4546100449690968E-8</v>
      </c>
      <c r="CS47" s="25">
        <f t="shared" si="40"/>
        <v>4.649314006286059E-9</v>
      </c>
    </row>
    <row r="48" spans="1:97" x14ac:dyDescent="0.25">
      <c r="A48" s="14"/>
      <c r="B48" s="11"/>
      <c r="C48" t="s">
        <v>3</v>
      </c>
      <c r="D48">
        <v>4.3660999999999998E-4</v>
      </c>
      <c r="E48">
        <v>1.9577800000000001E-3</v>
      </c>
      <c r="F48">
        <v>3.2353999999999998E-4</v>
      </c>
      <c r="G48">
        <v>312.90246300000001</v>
      </c>
      <c r="H48">
        <v>1.0768900000000001E-3</v>
      </c>
      <c r="I48">
        <v>7.6298687999999997</v>
      </c>
      <c r="J48">
        <v>1.5531200000000001E-3</v>
      </c>
      <c r="K48">
        <v>3.1437499999999998E-3</v>
      </c>
      <c r="L48">
        <v>8.9274000000000005E-4</v>
      </c>
      <c r="M48">
        <v>12.71965865</v>
      </c>
      <c r="N48">
        <v>7.7090300000000004E-3</v>
      </c>
      <c r="O48">
        <v>2.0003500000000001E-3</v>
      </c>
      <c r="P48">
        <v>3.3907899999999999E-3</v>
      </c>
      <c r="Q48">
        <v>1.7467800000000001E-3</v>
      </c>
      <c r="R48">
        <v>4.0703600000000003E-3</v>
      </c>
      <c r="S48">
        <v>4.4491899999999996E-3</v>
      </c>
      <c r="T48">
        <v>1.367994E-2</v>
      </c>
      <c r="U48">
        <v>3.9371000000000002E-4</v>
      </c>
      <c r="V48">
        <v>1.221738E-2</v>
      </c>
      <c r="W48">
        <v>9.7769999999999994E-5</v>
      </c>
      <c r="X48">
        <v>4.3911799999999997E-3</v>
      </c>
      <c r="Y48">
        <v>6.1335999999999997E-4</v>
      </c>
      <c r="Z48">
        <v>4.0470000000000002E-4</v>
      </c>
      <c r="AA48">
        <v>8.65287E-3</v>
      </c>
      <c r="AB48">
        <v>4.2691500000000002E-3</v>
      </c>
      <c r="AC48">
        <v>2.2157349999999999E-2</v>
      </c>
      <c r="AD48">
        <v>13.72430112</v>
      </c>
      <c r="AE48">
        <v>7.2554768300000001</v>
      </c>
      <c r="AF48">
        <v>6.9735999999999995E-4</v>
      </c>
      <c r="AG48">
        <v>2.8844E-4</v>
      </c>
      <c r="AH48">
        <v>2.0065300000000001E-2</v>
      </c>
      <c r="AI48">
        <v>3.0577500000000001E-3</v>
      </c>
      <c r="AJ48">
        <v>3.7349800000000002E-3</v>
      </c>
      <c r="AK48">
        <v>0.80174802000000001</v>
      </c>
      <c r="AL48">
        <v>8.829E-3</v>
      </c>
      <c r="AM48">
        <v>2.2662899999999998E-3</v>
      </c>
      <c r="AN48">
        <v>2.513176E-2</v>
      </c>
      <c r="AO48">
        <v>0.15037545999999999</v>
      </c>
      <c r="AP48">
        <v>0.35409797999999998</v>
      </c>
      <c r="AQ48">
        <v>0.60155692000000005</v>
      </c>
      <c r="AR48">
        <v>0.10334982</v>
      </c>
      <c r="AS48">
        <v>3.0544600000000002E-3</v>
      </c>
      <c r="AT48" s="4">
        <v>0</v>
      </c>
      <c r="AU48">
        <v>13.65072352</v>
      </c>
      <c r="AV48">
        <v>604.93334735999997</v>
      </c>
      <c r="AW48">
        <v>590.61357111999996</v>
      </c>
      <c r="AX48">
        <v>0.66905272000000005</v>
      </c>
      <c r="AY48" s="4">
        <v>0</v>
      </c>
      <c r="AZ48">
        <f t="shared" si="38"/>
        <v>961.34299764000002</v>
      </c>
      <c r="BB48" s="21"/>
      <c r="BC48" s="4" t="s">
        <v>3</v>
      </c>
      <c r="BD48" s="1">
        <f t="shared" si="42"/>
        <v>3.6293551044936592E-7</v>
      </c>
      <c r="BE48" s="1">
        <f t="shared" si="41"/>
        <v>2.6659761109034033E-7</v>
      </c>
      <c r="BF48" s="1">
        <f t="shared" si="0"/>
        <v>3.8134065334713876E-7</v>
      </c>
      <c r="BG48" s="1">
        <f t="shared" si="1"/>
        <v>2.7277332566059753E-2</v>
      </c>
      <c r="BH48" s="1">
        <f t="shared" si="2"/>
        <v>3.5159530473612035E-7</v>
      </c>
      <c r="BI48" s="1">
        <f t="shared" si="3"/>
        <v>2.2732933099255462E-3</v>
      </c>
      <c r="BJ48" s="1">
        <f t="shared" si="4"/>
        <v>5.3285892225540391E-7</v>
      </c>
      <c r="BK48" s="1">
        <f t="shared" si="5"/>
        <v>6.9277495144632288E-7</v>
      </c>
      <c r="BL48" s="1">
        <f t="shared" si="6"/>
        <v>1.5818464823068358E-7</v>
      </c>
      <c r="BM48" s="1">
        <f>M48/M$92</f>
        <v>7.1054653657383283E-4</v>
      </c>
      <c r="BN48" s="1">
        <f t="shared" si="7"/>
        <v>5.0671696242742327E-7</v>
      </c>
      <c r="BO48" s="1">
        <f t="shared" si="8"/>
        <v>3.0016695325164801E-7</v>
      </c>
      <c r="BP48" s="1">
        <f t="shared" si="9"/>
        <v>4.9794055535920822E-7</v>
      </c>
      <c r="BQ48" s="1">
        <f t="shared" si="10"/>
        <v>3.4490867390752787E-7</v>
      </c>
      <c r="BR48" s="1">
        <f t="shared" si="11"/>
        <v>3.3044859273419394E-7</v>
      </c>
      <c r="BS48" s="1">
        <f t="shared" si="12"/>
        <v>3.9108959867272687E-7</v>
      </c>
      <c r="BT48" s="1">
        <f t="shared" si="13"/>
        <v>8.9467029436728165E-7</v>
      </c>
      <c r="BU48" s="1">
        <f t="shared" si="14"/>
        <v>2.9425560392003382E-7</v>
      </c>
      <c r="BV48" s="1">
        <f t="shared" si="15"/>
        <v>6.8346955240677925E-6</v>
      </c>
      <c r="BW48" s="1">
        <f t="shared" si="16"/>
        <v>1.9784034742158653E-7</v>
      </c>
      <c r="BX48" s="1">
        <f t="shared" si="17"/>
        <v>4.3834757307725426E-7</v>
      </c>
      <c r="BY48" s="1">
        <f t="shared" si="18"/>
        <v>2.9015166387627569E-7</v>
      </c>
      <c r="BZ48" s="1">
        <f t="shared" si="19"/>
        <v>6.805532003466646E-7</v>
      </c>
      <c r="CA48" s="1">
        <f t="shared" si="20"/>
        <v>2.8028996302384975E-7</v>
      </c>
      <c r="CB48" s="1">
        <f t="shared" si="21"/>
        <v>2.3166126941913779E-7</v>
      </c>
      <c r="CC48" s="1">
        <f t="shared" si="22"/>
        <v>1.3949293758759366E-6</v>
      </c>
      <c r="CD48" s="1">
        <f t="shared" si="23"/>
        <v>2.114377547007391E-3</v>
      </c>
      <c r="CE48" s="1">
        <f t="shared" si="24"/>
        <v>4.5408874028948613E-4</v>
      </c>
      <c r="CF48" s="1">
        <f t="shared" si="25"/>
        <v>1.8819100159150809E-7</v>
      </c>
      <c r="CG48" s="1">
        <f t="shared" si="26"/>
        <v>1.7518061420210523E-7</v>
      </c>
      <c r="CH48" s="1">
        <f t="shared" si="27"/>
        <v>1.197145647727351E-6</v>
      </c>
      <c r="CI48" s="1">
        <f t="shared" si="28"/>
        <v>2.4052610070206563E-7</v>
      </c>
      <c r="CJ48" s="1">
        <f t="shared" si="29"/>
        <v>3.0277377774117156E-7</v>
      </c>
      <c r="CK48" s="1">
        <f t="shared" si="30"/>
        <v>5.443761223053E-5</v>
      </c>
      <c r="CL48" s="1">
        <f t="shared" si="31"/>
        <v>2.8878504012693038E-6</v>
      </c>
      <c r="CM48" s="1">
        <f t="shared" si="32"/>
        <v>3.3355217418379547E-7</v>
      </c>
      <c r="CN48" s="1">
        <f t="shared" si="33"/>
        <v>1.6702530837842769E-5</v>
      </c>
      <c r="CO48" s="1">
        <f t="shared" si="34"/>
        <v>3.0532442570532148E-5</v>
      </c>
      <c r="CP48" s="1">
        <f t="shared" si="35"/>
        <v>5.5784770708124558E-5</v>
      </c>
      <c r="CQ48" s="1">
        <f t="shared" si="36"/>
        <v>9.5525868368939544E-5</v>
      </c>
      <c r="CR48" s="1">
        <f t="shared" si="37"/>
        <v>4.4848951765437968E-5</v>
      </c>
      <c r="CS48" s="25">
        <f t="shared" si="40"/>
        <v>3.0520403308920085E-7</v>
      </c>
    </row>
    <row r="49" spans="1:97" x14ac:dyDescent="0.25">
      <c r="A49" s="14"/>
      <c r="B49" s="11"/>
      <c r="C49" t="s">
        <v>4</v>
      </c>
      <c r="D49">
        <v>6.9604200000000001E-3</v>
      </c>
      <c r="E49">
        <v>0.23514589999999999</v>
      </c>
      <c r="F49">
        <v>3.9470770000000002E-2</v>
      </c>
      <c r="G49">
        <v>0.61347054000000001</v>
      </c>
      <c r="H49">
        <v>45.408397299999997</v>
      </c>
      <c r="I49">
        <v>18.571363689999998</v>
      </c>
      <c r="J49">
        <v>1.5113109199999999</v>
      </c>
      <c r="K49">
        <v>1.20639619</v>
      </c>
      <c r="L49">
        <v>8.8658499999999998E-3</v>
      </c>
      <c r="M49">
        <v>1.9367014499999999</v>
      </c>
      <c r="N49">
        <v>8.4496790000000002E-2</v>
      </c>
      <c r="O49">
        <v>0.17712190999999999</v>
      </c>
      <c r="P49">
        <v>0.50404101000000001</v>
      </c>
      <c r="Q49">
        <v>1.41531232</v>
      </c>
      <c r="R49">
        <v>1.65602944</v>
      </c>
      <c r="S49">
        <v>1.04504821</v>
      </c>
      <c r="T49">
        <v>0.96421504999999996</v>
      </c>
      <c r="U49">
        <v>2.8294739999999999E-2</v>
      </c>
      <c r="V49">
        <v>0.42371472999999998</v>
      </c>
      <c r="W49">
        <v>1.327764E-2</v>
      </c>
      <c r="X49">
        <v>9.4647000000000004E-4</v>
      </c>
      <c r="Y49">
        <v>1.537E-4</v>
      </c>
      <c r="Z49">
        <v>1.148892E-2</v>
      </c>
      <c r="AA49">
        <v>0.13209162999999999</v>
      </c>
      <c r="AB49">
        <v>1.8808099999999999E-3</v>
      </c>
      <c r="AC49">
        <v>0.25576114999999999</v>
      </c>
      <c r="AD49">
        <v>5.0258089999999998E-2</v>
      </c>
      <c r="AE49">
        <v>3.88077E-3</v>
      </c>
      <c r="AF49">
        <v>8.7178399999999993E-3</v>
      </c>
      <c r="AG49">
        <v>1.1237599999999999E-3</v>
      </c>
      <c r="AH49">
        <v>6.1558699999999999E-3</v>
      </c>
      <c r="AI49">
        <v>1.0081700000000001E-3</v>
      </c>
      <c r="AJ49">
        <v>2.30591E-3</v>
      </c>
      <c r="AK49">
        <v>6.4533119999999999E-2</v>
      </c>
      <c r="AL49">
        <v>3.2224699999999998E-3</v>
      </c>
      <c r="AM49">
        <v>5.5230719999999997E-2</v>
      </c>
      <c r="AN49">
        <v>1.6826000000000001E-2</v>
      </c>
      <c r="AO49">
        <v>4.6324299999999999E-2</v>
      </c>
      <c r="AP49">
        <v>4.4396610000000003E-2</v>
      </c>
      <c r="AQ49">
        <v>0.13986414</v>
      </c>
      <c r="AR49">
        <v>1.155896E-2</v>
      </c>
      <c r="AS49">
        <v>2.5812849999999998E-2</v>
      </c>
      <c r="AT49" s="4">
        <v>0</v>
      </c>
      <c r="AU49">
        <v>0.85490376999999995</v>
      </c>
      <c r="AV49">
        <v>11.23110685</v>
      </c>
      <c r="AW49">
        <v>10.376203070000001</v>
      </c>
      <c r="AX49">
        <v>0</v>
      </c>
      <c r="AY49" s="4">
        <v>0</v>
      </c>
      <c r="AZ49">
        <f t="shared" si="38"/>
        <v>87.964283980000005</v>
      </c>
      <c r="BB49" s="21"/>
      <c r="BC49" s="4" t="s">
        <v>4</v>
      </c>
      <c r="BD49" s="1">
        <f t="shared" si="42"/>
        <v>5.7859040920775416E-6</v>
      </c>
      <c r="BE49" s="1">
        <f t="shared" si="41"/>
        <v>3.2020622949303831E-5</v>
      </c>
      <c r="BF49" s="1">
        <f t="shared" si="0"/>
        <v>4.6522251406053798E-5</v>
      </c>
      <c r="BG49" s="1">
        <f t="shared" si="1"/>
        <v>5.3479412653457643E-5</v>
      </c>
      <c r="BH49" s="1">
        <f t="shared" si="2"/>
        <v>1.4825450404658156E-2</v>
      </c>
      <c r="BI49" s="1">
        <f t="shared" si="3"/>
        <v>5.5332742854859061E-3</v>
      </c>
      <c r="BJ49" s="1">
        <f t="shared" si="4"/>
        <v>5.1851467241682727E-4</v>
      </c>
      <c r="BK49" s="1">
        <f t="shared" si="5"/>
        <v>2.6584844912994955E-4</v>
      </c>
      <c r="BL49" s="1">
        <f t="shared" si="6"/>
        <v>1.5709404345229359E-6</v>
      </c>
      <c r="BM49" s="1">
        <f>M49/M$92</f>
        <v>1.0818816334155477E-4</v>
      </c>
      <c r="BN49" s="1">
        <f t="shared" si="7"/>
        <v>5.5540005375083344E-6</v>
      </c>
      <c r="BO49" s="1">
        <f t="shared" si="8"/>
        <v>2.6578420815763541E-5</v>
      </c>
      <c r="BP49" s="1">
        <f t="shared" si="9"/>
        <v>7.401887478823997E-5</v>
      </c>
      <c r="BQ49" s="1">
        <f t="shared" si="10"/>
        <v>2.7945905921534863E-4</v>
      </c>
      <c r="BR49" s="1">
        <f t="shared" si="11"/>
        <v>1.34443291987538E-4</v>
      </c>
      <c r="BS49" s="1">
        <f t="shared" si="12"/>
        <v>9.1861099445641046E-5</v>
      </c>
      <c r="BT49" s="1">
        <f t="shared" si="13"/>
        <v>6.3059820629100948E-5</v>
      </c>
      <c r="BU49" s="1">
        <f t="shared" si="14"/>
        <v>2.1147255102639855E-5</v>
      </c>
      <c r="BV49" s="1">
        <f t="shared" si="15"/>
        <v>2.3703618685942429E-4</v>
      </c>
      <c r="BW49" s="1">
        <f t="shared" si="16"/>
        <v>2.6867678332195504E-5</v>
      </c>
      <c r="BX49" s="1">
        <f t="shared" si="17"/>
        <v>9.4480943047296827E-8</v>
      </c>
      <c r="BY49" s="1">
        <f t="shared" si="18"/>
        <v>7.2708214976169897E-8</v>
      </c>
      <c r="BZ49" s="1">
        <f t="shared" si="19"/>
        <v>1.9320042684770945E-5</v>
      </c>
      <c r="CA49" s="1">
        <f t="shared" si="20"/>
        <v>4.27880669517282E-6</v>
      </c>
      <c r="CB49" s="1">
        <f t="shared" si="21"/>
        <v>1.0206032398398007E-7</v>
      </c>
      <c r="CC49" s="1">
        <f t="shared" si="22"/>
        <v>1.6101597950242777E-5</v>
      </c>
      <c r="CD49" s="1">
        <f t="shared" si="23"/>
        <v>7.7428042508205087E-6</v>
      </c>
      <c r="CE49" s="1">
        <f t="shared" si="24"/>
        <v>2.4288051660048223E-7</v>
      </c>
      <c r="CF49" s="1">
        <f t="shared" si="25"/>
        <v>2.3526142040187465E-6</v>
      </c>
      <c r="CG49" s="1">
        <f t="shared" si="26"/>
        <v>6.825023124939597E-7</v>
      </c>
      <c r="CH49" s="1">
        <f t="shared" si="27"/>
        <v>3.6727449768881443E-7</v>
      </c>
      <c r="CI49" s="1">
        <f t="shared" si="28"/>
        <v>7.9303801469970235E-8</v>
      </c>
      <c r="CJ49" s="1">
        <f t="shared" si="29"/>
        <v>1.8692712727541909E-7</v>
      </c>
      <c r="CK49" s="1">
        <f t="shared" si="30"/>
        <v>4.3817120528545368E-6</v>
      </c>
      <c r="CL49" s="1">
        <f t="shared" si="31"/>
        <v>1.0540277814676965E-6</v>
      </c>
      <c r="CM49" s="1">
        <f t="shared" si="32"/>
        <v>8.128847913434043E-6</v>
      </c>
      <c r="CN49" s="1">
        <f t="shared" si="33"/>
        <v>1.118253492304329E-5</v>
      </c>
      <c r="CO49" s="1">
        <f t="shared" si="34"/>
        <v>9.4057503090604187E-6</v>
      </c>
      <c r="CP49" s="1">
        <f t="shared" si="35"/>
        <v>6.9942638731461562E-6</v>
      </c>
      <c r="CQ49" s="1">
        <f t="shared" si="36"/>
        <v>2.2210106779546199E-5</v>
      </c>
      <c r="CR49" s="1">
        <f t="shared" si="37"/>
        <v>5.0160439514904513E-6</v>
      </c>
      <c r="CS49" s="25">
        <f t="shared" si="40"/>
        <v>2.5792401686473477E-6</v>
      </c>
    </row>
    <row r="50" spans="1:97" x14ac:dyDescent="0.25">
      <c r="A50" s="14"/>
      <c r="B50" s="11"/>
      <c r="C50" t="s">
        <v>5</v>
      </c>
      <c r="D50">
        <v>5.0769999999999997E-5</v>
      </c>
      <c r="E50">
        <v>5.2276099999999997E-3</v>
      </c>
      <c r="F50">
        <v>5.7289999999999999E-4</v>
      </c>
      <c r="G50">
        <v>3.7944200000000002E-3</v>
      </c>
      <c r="H50">
        <v>1.009264E-2</v>
      </c>
      <c r="I50">
        <v>15.621898290000001</v>
      </c>
      <c r="J50">
        <v>0.67599482</v>
      </c>
      <c r="K50">
        <v>0.37733222</v>
      </c>
      <c r="L50">
        <v>1.3541000000000001E-4</v>
      </c>
      <c r="M50">
        <v>5.5038400000000001E-2</v>
      </c>
      <c r="N50">
        <v>2.4504399999999999E-3</v>
      </c>
      <c r="O50">
        <v>3.5519309999999998E-2</v>
      </c>
      <c r="P50">
        <v>2.5065839999999999E-2</v>
      </c>
      <c r="Q50">
        <v>1.068966E-2</v>
      </c>
      <c r="R50">
        <v>0.18448065999999999</v>
      </c>
      <c r="S50">
        <v>7.3119600000000002E-3</v>
      </c>
      <c r="T50">
        <v>2.5536420000000001E-2</v>
      </c>
      <c r="U50">
        <v>0.10372455</v>
      </c>
      <c r="V50">
        <v>1.6472799999999999E-2</v>
      </c>
      <c r="W50">
        <v>6.2550000000000003E-5</v>
      </c>
      <c r="X50">
        <v>3.2626999999999998E-4</v>
      </c>
      <c r="Y50">
        <v>1.7240000000000001E-5</v>
      </c>
      <c r="Z50">
        <v>5.6589999999999999E-5</v>
      </c>
      <c r="AA50">
        <v>1.747688E-2</v>
      </c>
      <c r="AB50">
        <v>1.4296999999999999E-4</v>
      </c>
      <c r="AC50">
        <v>1.80748E-3</v>
      </c>
      <c r="AD50">
        <v>3.04528E-3</v>
      </c>
      <c r="AE50">
        <v>1.0229799999999999E-3</v>
      </c>
      <c r="AF50">
        <v>9.9361999999999996E-4</v>
      </c>
      <c r="AG50">
        <v>1.7174000000000001E-4</v>
      </c>
      <c r="AH50">
        <v>1.0558E-4</v>
      </c>
      <c r="AI50">
        <v>1.14521E-3</v>
      </c>
      <c r="AJ50">
        <v>1.9900000000000001E-4</v>
      </c>
      <c r="AK50">
        <v>1.2578000000000001E-3</v>
      </c>
      <c r="AL50">
        <v>2.2293000000000001E-4</v>
      </c>
      <c r="AM50">
        <v>1.0262100000000001E-3</v>
      </c>
      <c r="AN50">
        <v>2.366E-4</v>
      </c>
      <c r="AO50">
        <v>1.6174900000000001E-3</v>
      </c>
      <c r="AP50">
        <v>4.0571999999999998E-4</v>
      </c>
      <c r="AQ50">
        <v>8.2083000000000004E-4</v>
      </c>
      <c r="AR50">
        <v>1.344592E-2</v>
      </c>
      <c r="AS50">
        <v>6.4215670000000002E-2</v>
      </c>
      <c r="AT50" s="4">
        <v>0</v>
      </c>
      <c r="AU50">
        <v>0.10109665</v>
      </c>
      <c r="AV50">
        <v>226.19455866000001</v>
      </c>
      <c r="AW50">
        <v>226.09346201</v>
      </c>
      <c r="AX50">
        <v>0</v>
      </c>
      <c r="AY50" s="4">
        <v>0</v>
      </c>
      <c r="AZ50">
        <f t="shared" si="38"/>
        <v>243.46577034000001</v>
      </c>
      <c r="BB50" s="21"/>
      <c r="BC50" s="4" t="s">
        <v>5</v>
      </c>
      <c r="BD50" s="1">
        <f t="shared" si="42"/>
        <v>4.2202963435364071E-8</v>
      </c>
      <c r="BE50" s="1">
        <f t="shared" si="41"/>
        <v>7.1186156652533676E-7</v>
      </c>
      <c r="BF50" s="1">
        <f t="shared" si="0"/>
        <v>6.752489964226241E-7</v>
      </c>
      <c r="BG50" s="1">
        <f t="shared" si="1"/>
        <v>3.3077929538479996E-7</v>
      </c>
      <c r="BH50" s="1">
        <f t="shared" si="2"/>
        <v>3.2951599851349326E-6</v>
      </c>
      <c r="BI50" s="1">
        <f t="shared" si="3"/>
        <v>4.6544911586152487E-3</v>
      </c>
      <c r="BJ50" s="1">
        <f t="shared" si="4"/>
        <v>2.3192661947269734E-4</v>
      </c>
      <c r="BK50" s="1">
        <f t="shared" si="5"/>
        <v>8.3151112648789891E-5</v>
      </c>
      <c r="BL50" s="1">
        <f t="shared" si="6"/>
        <v>2.399330512457923E-8</v>
      </c>
      <c r="BM50" s="1">
        <f>M50/M$92</f>
        <v>3.0745592766803727E-6</v>
      </c>
      <c r="BN50" s="1">
        <f t="shared" si="7"/>
        <v>1.6106819060383147E-7</v>
      </c>
      <c r="BO50" s="1">
        <f t="shared" si="8"/>
        <v>5.3299287946113389E-6</v>
      </c>
      <c r="BP50" s="1">
        <f t="shared" si="9"/>
        <v>3.6809411052129607E-6</v>
      </c>
      <c r="BQ50" s="1">
        <f t="shared" si="10"/>
        <v>2.1107159774684531E-6</v>
      </c>
      <c r="BR50" s="1">
        <f t="shared" si="11"/>
        <v>1.4976899950784525E-5</v>
      </c>
      <c r="BS50" s="1">
        <f t="shared" si="12"/>
        <v>6.4273081210535678E-7</v>
      </c>
      <c r="BT50" s="1">
        <f t="shared" si="13"/>
        <v>1.6700860090385295E-6</v>
      </c>
      <c r="BU50" s="1">
        <f t="shared" si="14"/>
        <v>7.7522872422808021E-5</v>
      </c>
      <c r="BV50" s="1">
        <f t="shared" si="15"/>
        <v>9.2152795794895412E-6</v>
      </c>
      <c r="BW50" s="1">
        <f t="shared" si="16"/>
        <v>1.2657168590794965E-7</v>
      </c>
      <c r="BX50" s="1">
        <f t="shared" si="17"/>
        <v>3.2569756345200093E-8</v>
      </c>
      <c r="BY50" s="1">
        <f t="shared" si="18"/>
        <v>8.1554302289471002E-9</v>
      </c>
      <c r="BZ50" s="1">
        <f t="shared" si="19"/>
        <v>9.5163097621986019E-8</v>
      </c>
      <c r="CA50" s="1">
        <f t="shared" si="20"/>
        <v>5.6612361551395765E-7</v>
      </c>
      <c r="CB50" s="1">
        <f t="shared" si="21"/>
        <v>7.75812789170072E-9</v>
      </c>
      <c r="CC50" s="1">
        <f t="shared" si="22"/>
        <v>1.1379099704198552E-7</v>
      </c>
      <c r="CD50" s="1">
        <f t="shared" si="23"/>
        <v>4.6915843656093337E-7</v>
      </c>
      <c r="CE50" s="1">
        <f t="shared" si="24"/>
        <v>6.4023869199143805E-8</v>
      </c>
      <c r="CF50" s="1">
        <f t="shared" si="25"/>
        <v>2.6814033354559235E-7</v>
      </c>
      <c r="CG50" s="1">
        <f t="shared" si="26"/>
        <v>1.0430425281885159E-7</v>
      </c>
      <c r="CH50" s="1">
        <f t="shared" si="27"/>
        <v>6.2991651003002057E-9</v>
      </c>
      <c r="CI50" s="1">
        <f t="shared" si="28"/>
        <v>9.0083524089612481E-8</v>
      </c>
      <c r="CJ50" s="1">
        <f t="shared" si="29"/>
        <v>1.6131808408744663E-8</v>
      </c>
      <c r="CK50" s="1">
        <f t="shared" si="30"/>
        <v>8.5402928296050725E-8</v>
      </c>
      <c r="CL50" s="1">
        <f t="shared" si="31"/>
        <v>7.2917486686483854E-8</v>
      </c>
      <c r="CM50" s="1">
        <f t="shared" si="32"/>
        <v>1.5103741210046056E-7</v>
      </c>
      <c r="CN50" s="1">
        <f t="shared" si="33"/>
        <v>1.5724401300321184E-7</v>
      </c>
      <c r="CO50" s="1">
        <f t="shared" si="34"/>
        <v>3.2841741952716258E-7</v>
      </c>
      <c r="CP50" s="1">
        <f t="shared" si="35"/>
        <v>6.3917329242319587E-8</v>
      </c>
      <c r="CQ50" s="1">
        <f t="shared" si="36"/>
        <v>1.3034593390310705E-7</v>
      </c>
      <c r="CR50" s="1">
        <f t="shared" si="37"/>
        <v>5.8348956729865395E-6</v>
      </c>
      <c r="CS50" s="25">
        <f t="shared" si="40"/>
        <v>6.4164799904157212E-6</v>
      </c>
    </row>
    <row r="51" spans="1:97" x14ac:dyDescent="0.25">
      <c r="A51" s="14"/>
      <c r="B51" s="11"/>
      <c r="C51" t="s">
        <v>6</v>
      </c>
      <c r="D51">
        <v>6.3908999999999997E-3</v>
      </c>
      <c r="E51">
        <v>5.0176989999999998E-2</v>
      </c>
      <c r="F51">
        <v>1.9687699999999999E-3</v>
      </c>
      <c r="G51">
        <v>0.11917343</v>
      </c>
      <c r="H51">
        <v>8.0939299999999992E-3</v>
      </c>
      <c r="I51">
        <v>1.172963E-2</v>
      </c>
      <c r="J51">
        <v>59.87413566</v>
      </c>
      <c r="K51">
        <v>14.474108790000001</v>
      </c>
      <c r="L51">
        <v>2.8379999999999998E-3</v>
      </c>
      <c r="M51">
        <v>8.0125539999999995E-2</v>
      </c>
      <c r="N51">
        <v>6.7129900000000003E-3</v>
      </c>
      <c r="O51">
        <v>0.14127202999999999</v>
      </c>
      <c r="P51">
        <v>4.60437E-2</v>
      </c>
      <c r="Q51">
        <v>0.18380994</v>
      </c>
      <c r="R51">
        <v>2.1395499</v>
      </c>
      <c r="S51">
        <v>3.4484309999999997E-2</v>
      </c>
      <c r="T51">
        <v>3.0346789999999998E-2</v>
      </c>
      <c r="U51">
        <v>6.5538899999999997E-3</v>
      </c>
      <c r="V51">
        <v>3.529997E-2</v>
      </c>
      <c r="W51">
        <v>1.0067100000000001E-3</v>
      </c>
      <c r="X51">
        <v>3.9845599999999998E-3</v>
      </c>
      <c r="Y51">
        <v>6.5270000000000004E-5</v>
      </c>
      <c r="Z51">
        <v>1.2700999999999999E-4</v>
      </c>
      <c r="AA51">
        <v>2.2677413899999999</v>
      </c>
      <c r="AB51">
        <v>3.3108399999999998E-3</v>
      </c>
      <c r="AC51">
        <v>6.3373600000000002E-3</v>
      </c>
      <c r="AD51">
        <v>5.5930600000000004E-3</v>
      </c>
      <c r="AE51">
        <v>1.585307E-2</v>
      </c>
      <c r="AF51">
        <v>0.14293126</v>
      </c>
      <c r="AG51">
        <v>1.0815E-4</v>
      </c>
      <c r="AH51">
        <v>9.9310999999999996E-4</v>
      </c>
      <c r="AI51">
        <v>9.3179999999999999E-4</v>
      </c>
      <c r="AJ51">
        <v>3.0731000000000001E-3</v>
      </c>
      <c r="AK51">
        <v>1.9979899999999998E-3</v>
      </c>
      <c r="AL51">
        <v>1.0564E-4</v>
      </c>
      <c r="AM51">
        <v>7.3978409999999994E-2</v>
      </c>
      <c r="AN51">
        <v>9.4010699999999992E-3</v>
      </c>
      <c r="AO51">
        <v>6.7929599999999998E-3</v>
      </c>
      <c r="AP51">
        <v>1.6937199999999999E-3</v>
      </c>
      <c r="AQ51">
        <v>3.02155E-3</v>
      </c>
      <c r="AR51">
        <v>4.71069E-3</v>
      </c>
      <c r="AS51">
        <v>4.332656E-2</v>
      </c>
      <c r="AT51" s="4">
        <v>1.4532715199999999</v>
      </c>
      <c r="AU51">
        <v>0.79369931000000005</v>
      </c>
      <c r="AV51">
        <v>14.02546291</v>
      </c>
      <c r="AW51">
        <v>11.49711609</v>
      </c>
      <c r="AX51">
        <v>0.28137600000000001</v>
      </c>
      <c r="AY51" s="4">
        <v>0</v>
      </c>
      <c r="AZ51">
        <f t="shared" si="38"/>
        <v>93.875363349999972</v>
      </c>
      <c r="BB51" s="21"/>
      <c r="BC51" s="4" t="s">
        <v>6</v>
      </c>
      <c r="BD51" s="1">
        <f t="shared" si="42"/>
        <v>5.3124860945256696E-6</v>
      </c>
      <c r="BE51" s="1">
        <f t="shared" si="41"/>
        <v>6.8327726637844369E-6</v>
      </c>
      <c r="BF51" s="1">
        <f t="shared" si="0"/>
        <v>2.3204921743532376E-6</v>
      </c>
      <c r="BG51" s="1">
        <f t="shared" si="1"/>
        <v>1.0388966746957316E-5</v>
      </c>
      <c r="BH51" s="1">
        <f t="shared" si="2"/>
        <v>2.6425983943233072E-6</v>
      </c>
      <c r="BI51" s="1">
        <f t="shared" si="3"/>
        <v>3.4948031356583729E-6</v>
      </c>
      <c r="BJ51" s="1">
        <f t="shared" si="4"/>
        <v>2.0542177937803545E-2</v>
      </c>
      <c r="BK51" s="1">
        <f t="shared" si="5"/>
        <v>3.1895984140663364E-3</v>
      </c>
      <c r="BL51" s="1">
        <f t="shared" si="6"/>
        <v>5.0286537141685143E-7</v>
      </c>
      <c r="BM51" s="1">
        <f>M51/M$92</f>
        <v>4.4759789947749977E-6</v>
      </c>
      <c r="BN51" s="1">
        <f t="shared" si="7"/>
        <v>4.4124694048481691E-7</v>
      </c>
      <c r="BO51" s="1">
        <f t="shared" si="8"/>
        <v>2.1198887607056471E-5</v>
      </c>
      <c r="BP51" s="1">
        <f t="shared" si="9"/>
        <v>6.7615586777101428E-6</v>
      </c>
      <c r="BQ51" s="1">
        <f t="shared" si="10"/>
        <v>3.6294005344933109E-5</v>
      </c>
      <c r="BR51" s="1">
        <f t="shared" si="11"/>
        <v>1.7369747480310964E-4</v>
      </c>
      <c r="BS51" s="1">
        <f t="shared" si="12"/>
        <v>3.0312157849869085E-6</v>
      </c>
      <c r="BT51" s="1">
        <f t="shared" si="13"/>
        <v>1.9846849870980484E-6</v>
      </c>
      <c r="BU51" s="1">
        <f t="shared" si="14"/>
        <v>4.8983232835728594E-6</v>
      </c>
      <c r="BV51" s="1">
        <f t="shared" si="15"/>
        <v>1.9747650229323092E-5</v>
      </c>
      <c r="BW51" s="1">
        <f t="shared" si="16"/>
        <v>2.0371060259055478E-6</v>
      </c>
      <c r="BX51" s="1">
        <f t="shared" si="17"/>
        <v>3.9775691403693409E-7</v>
      </c>
      <c r="BY51" s="1">
        <f t="shared" si="18"/>
        <v>3.0876156093003319E-8</v>
      </c>
      <c r="BZ51" s="1">
        <f t="shared" si="19"/>
        <v>2.1358305405492921E-7</v>
      </c>
      <c r="CA51" s="1">
        <f t="shared" si="20"/>
        <v>7.3458303470496332E-5</v>
      </c>
      <c r="CB51" s="1">
        <f t="shared" si="21"/>
        <v>1.7965951002978534E-7</v>
      </c>
      <c r="CC51" s="1">
        <f t="shared" si="22"/>
        <v>3.9897233331157045E-7</v>
      </c>
      <c r="CD51" s="1">
        <f t="shared" si="23"/>
        <v>8.6167159840523511E-7</v>
      </c>
      <c r="CE51" s="1">
        <f t="shared" si="24"/>
        <v>9.9217470535579454E-7</v>
      </c>
      <c r="CF51" s="1">
        <f t="shared" si="25"/>
        <v>3.8571723325307244E-5</v>
      </c>
      <c r="CG51" s="1">
        <f t="shared" si="26"/>
        <v>6.5683620253632229E-8</v>
      </c>
      <c r="CH51" s="1">
        <f t="shared" si="27"/>
        <v>5.9251409857540603E-8</v>
      </c>
      <c r="CI51" s="1">
        <f t="shared" si="28"/>
        <v>7.329645021149039E-8</v>
      </c>
      <c r="CJ51" s="1">
        <f t="shared" si="29"/>
        <v>2.491188965875036E-7</v>
      </c>
      <c r="CK51" s="1">
        <f t="shared" si="30"/>
        <v>1.3566083376230431E-7</v>
      </c>
      <c r="CL51" s="1">
        <f t="shared" si="31"/>
        <v>3.4553462044409249E-8</v>
      </c>
      <c r="CM51" s="1">
        <f t="shared" si="32"/>
        <v>1.088812971780321E-5</v>
      </c>
      <c r="CN51" s="1">
        <f t="shared" si="33"/>
        <v>6.2479373344214049E-6</v>
      </c>
      <c r="CO51" s="1">
        <f t="shared" si="34"/>
        <v>1.3792520474013652E-6</v>
      </c>
      <c r="CP51" s="1">
        <f t="shared" si="35"/>
        <v>2.6682948556714367E-7</v>
      </c>
      <c r="CQ51" s="1">
        <f t="shared" si="36"/>
        <v>4.7981525600298845E-7</v>
      </c>
      <c r="CR51" s="1">
        <f t="shared" si="37"/>
        <v>2.0442174799330176E-6</v>
      </c>
      <c r="CS51" s="25">
        <f t="shared" si="40"/>
        <v>4.3292237750310187E-6</v>
      </c>
    </row>
    <row r="52" spans="1:97" x14ac:dyDescent="0.25">
      <c r="A52" s="14"/>
      <c r="B52" s="11"/>
      <c r="C52" t="s">
        <v>7</v>
      </c>
      <c r="D52">
        <v>3.2535799999999998E-3</v>
      </c>
      <c r="E52">
        <v>0.22050235000000001</v>
      </c>
      <c r="F52">
        <v>3.9457800000000003E-3</v>
      </c>
      <c r="G52">
        <v>1.76436796</v>
      </c>
      <c r="H52">
        <v>0.25170703</v>
      </c>
      <c r="I52">
        <v>0.44720684999999999</v>
      </c>
      <c r="J52">
        <v>9.9219139999999997E-2</v>
      </c>
      <c r="K52">
        <v>213.19464349</v>
      </c>
      <c r="L52">
        <v>2.9357799999999998E-3</v>
      </c>
      <c r="M52">
        <v>6.6554091800000004</v>
      </c>
      <c r="N52">
        <v>3.055983E-2</v>
      </c>
      <c r="O52">
        <v>8.9988559999999995E-2</v>
      </c>
      <c r="P52">
        <v>0.15067769</v>
      </c>
      <c r="Q52">
        <v>0.33992161999999998</v>
      </c>
      <c r="R52">
        <v>0.14844147999999999</v>
      </c>
      <c r="S52">
        <v>2.5072772799999998</v>
      </c>
      <c r="T52">
        <v>0.76146937999999997</v>
      </c>
      <c r="U52">
        <v>0.10275437</v>
      </c>
      <c r="V52">
        <v>1.8543750000000001E-2</v>
      </c>
      <c r="W52">
        <v>1.1459599999999999E-3</v>
      </c>
      <c r="X52">
        <v>9.3630699999999994E-3</v>
      </c>
      <c r="Y52">
        <v>1.1338699999999999E-3</v>
      </c>
      <c r="Z52">
        <v>9.4775999999999997E-4</v>
      </c>
      <c r="AA52">
        <v>0.49811116999999999</v>
      </c>
      <c r="AB52">
        <v>8.9442369999999993E-2</v>
      </c>
      <c r="AC52">
        <v>0.83159430999999995</v>
      </c>
      <c r="AD52">
        <v>4.9696049999999999E-2</v>
      </c>
      <c r="AE52">
        <v>0.22161486999999999</v>
      </c>
      <c r="AF52">
        <v>5.2624899999999999E-3</v>
      </c>
      <c r="AG52">
        <v>1.21783E-3</v>
      </c>
      <c r="AH52">
        <v>0.27841265999999998</v>
      </c>
      <c r="AI52">
        <v>0.24401001999999999</v>
      </c>
      <c r="AJ52">
        <v>5.0034870000000002E-2</v>
      </c>
      <c r="AK52">
        <v>1.6041399300000001</v>
      </c>
      <c r="AL52">
        <v>1.401372E-2</v>
      </c>
      <c r="AM52">
        <v>0.42305279000000001</v>
      </c>
      <c r="AN52">
        <v>4.9378399999999998E-3</v>
      </c>
      <c r="AO52">
        <v>0.36061377</v>
      </c>
      <c r="AP52">
        <v>0.33941375000000001</v>
      </c>
      <c r="AQ52">
        <v>3.8198099999999999E-2</v>
      </c>
      <c r="AR52">
        <v>2.7762469400000001</v>
      </c>
      <c r="AS52">
        <v>0.31887504</v>
      </c>
      <c r="AT52" s="4">
        <v>2.51000669</v>
      </c>
      <c r="AU52">
        <v>1.41226528</v>
      </c>
      <c r="AV52">
        <v>90.356832470000001</v>
      </c>
      <c r="AW52">
        <v>75.682347300000004</v>
      </c>
      <c r="AX52">
        <v>10.7522132</v>
      </c>
      <c r="AY52" s="4">
        <v>0</v>
      </c>
      <c r="AZ52">
        <f t="shared" si="38"/>
        <v>325.31113674999995</v>
      </c>
      <c r="BB52" s="21"/>
      <c r="BC52" s="4" t="s">
        <v>7</v>
      </c>
      <c r="BD52" s="1">
        <f t="shared" si="42"/>
        <v>2.7045640688207961E-6</v>
      </c>
      <c r="BE52" s="1">
        <f t="shared" si="41"/>
        <v>3.0026560568504176E-5</v>
      </c>
      <c r="BF52" s="1">
        <f t="shared" si="0"/>
        <v>4.6506964306239518E-6</v>
      </c>
      <c r="BG52" s="1">
        <f t="shared" si="1"/>
        <v>1.5380911723222968E-4</v>
      </c>
      <c r="BH52" s="1">
        <f t="shared" si="2"/>
        <v>8.2180176171265201E-5</v>
      </c>
      <c r="BI52" s="1">
        <f t="shared" si="3"/>
        <v>1.3324375122385817E-4</v>
      </c>
      <c r="BJ52" s="1">
        <f t="shared" si="4"/>
        <v>3.4041029674144965E-5</v>
      </c>
      <c r="BK52" s="1">
        <f t="shared" si="5"/>
        <v>4.6980805977702066E-2</v>
      </c>
      <c r="BL52" s="1">
        <f t="shared" si="6"/>
        <v>5.2019101483374345E-7</v>
      </c>
      <c r="BM52" s="1">
        <f>M52/M$92</f>
        <v>3.717849725731982E-4</v>
      </c>
      <c r="BN52" s="1">
        <f t="shared" si="7"/>
        <v>2.0087072212585036E-6</v>
      </c>
      <c r="BO52" s="1">
        <f t="shared" si="8"/>
        <v>1.3503432840604453E-5</v>
      </c>
      <c r="BP52" s="1">
        <f t="shared" si="9"/>
        <v>2.2127154037508253E-5</v>
      </c>
      <c r="BQ52" s="1">
        <f t="shared" si="10"/>
        <v>6.7118878843757415E-5</v>
      </c>
      <c r="BR52" s="1">
        <f t="shared" si="11"/>
        <v>1.2051090854219525E-5</v>
      </c>
      <c r="BS52" s="1">
        <f t="shared" si="12"/>
        <v>2.2039294010740075E-4</v>
      </c>
      <c r="BT52" s="1">
        <f t="shared" si="13"/>
        <v>4.9800220933444991E-5</v>
      </c>
      <c r="BU52" s="1">
        <f t="shared" si="14"/>
        <v>7.6797767899653563E-5</v>
      </c>
      <c r="BV52" s="1">
        <f t="shared" si="15"/>
        <v>1.0373818701262639E-5</v>
      </c>
      <c r="BW52" s="1">
        <f t="shared" si="16"/>
        <v>2.3188823210723257E-6</v>
      </c>
      <c r="BX52" s="1">
        <f t="shared" si="17"/>
        <v>9.3466426132666999E-7</v>
      </c>
      <c r="BY52" s="1">
        <f t="shared" si="18"/>
        <v>5.3638037550442265E-7</v>
      </c>
      <c r="BZ52" s="1">
        <f t="shared" si="19"/>
        <v>1.5937758862380894E-6</v>
      </c>
      <c r="CA52" s="1">
        <f t="shared" si="20"/>
        <v>1.6135173811818105E-5</v>
      </c>
      <c r="CB52" s="1">
        <f t="shared" si="21"/>
        <v>4.8535031502889814E-6</v>
      </c>
      <c r="CC52" s="1">
        <f t="shared" si="22"/>
        <v>5.2353522954246793E-5</v>
      </c>
      <c r="CD52" s="1">
        <f t="shared" si="23"/>
        <v>7.6562158886059654E-6</v>
      </c>
      <c r="CE52" s="1">
        <f t="shared" si="24"/>
        <v>1.3869910897051025E-5</v>
      </c>
      <c r="CF52" s="1">
        <f t="shared" si="25"/>
        <v>1.4201463576421008E-6</v>
      </c>
      <c r="CG52" s="1">
        <f t="shared" si="26"/>
        <v>7.3963461168267167E-7</v>
      </c>
      <c r="CH52" s="1">
        <f t="shared" si="27"/>
        <v>1.6610790977019768E-5</v>
      </c>
      <c r="CI52" s="1">
        <f t="shared" si="28"/>
        <v>1.9194106334014567E-5</v>
      </c>
      <c r="CJ52" s="1">
        <f t="shared" si="29"/>
        <v>4.0560449075198294E-6</v>
      </c>
      <c r="CK52" s="1">
        <f t="shared" si="30"/>
        <v>1.0891894372604692E-4</v>
      </c>
      <c r="CL52" s="1">
        <f t="shared" si="31"/>
        <v>4.5837044880819649E-6</v>
      </c>
      <c r="CM52" s="1">
        <f t="shared" si="32"/>
        <v>6.2264837200455661E-5</v>
      </c>
      <c r="CN52" s="1">
        <f t="shared" si="33"/>
        <v>3.2816812221799637E-6</v>
      </c>
      <c r="CO52" s="1">
        <f t="shared" si="34"/>
        <v>7.3219521474235827E-5</v>
      </c>
      <c r="CP52" s="1">
        <f t="shared" si="35"/>
        <v>5.3471409859312705E-5</v>
      </c>
      <c r="CQ52" s="1">
        <f t="shared" si="36"/>
        <v>6.0657712532732387E-6</v>
      </c>
      <c r="CR52" s="1">
        <f t="shared" si="37"/>
        <v>1.2047603479232452E-3</v>
      </c>
      <c r="CS52" s="25">
        <f t="shared" si="40"/>
        <v>3.1862243492951368E-5</v>
      </c>
    </row>
    <row r="53" spans="1:97" x14ac:dyDescent="0.25">
      <c r="A53" s="14"/>
      <c r="B53" s="11"/>
      <c r="C53" t="s">
        <v>8</v>
      </c>
      <c r="D53">
        <v>0.22431376</v>
      </c>
      <c r="E53">
        <v>11.39424039</v>
      </c>
      <c r="F53">
        <v>0.78466875999999997</v>
      </c>
      <c r="G53">
        <v>3.6448149999999999E-2</v>
      </c>
      <c r="H53">
        <v>0.16463053999999999</v>
      </c>
      <c r="I53">
        <v>2.1900010000000001E-2</v>
      </c>
      <c r="J53">
        <v>3.4839790000000002E-2</v>
      </c>
      <c r="K53">
        <v>0.51667766999999998</v>
      </c>
      <c r="L53">
        <v>48.289937399999999</v>
      </c>
      <c r="M53">
        <v>248.27232602999999</v>
      </c>
      <c r="N53">
        <v>5.51530319</v>
      </c>
      <c r="O53">
        <v>0.14814506999999999</v>
      </c>
      <c r="P53">
        <v>0.26216612</v>
      </c>
      <c r="Q53">
        <v>1.1888580500000001</v>
      </c>
      <c r="R53">
        <v>0.58495587000000004</v>
      </c>
      <c r="S53">
        <v>0.13602626000000001</v>
      </c>
      <c r="T53">
        <v>0.56655557000000001</v>
      </c>
      <c r="U53">
        <v>0.24675146000000001</v>
      </c>
      <c r="V53">
        <v>1.376694E-2</v>
      </c>
      <c r="W53">
        <v>0.22721798000000001</v>
      </c>
      <c r="X53">
        <v>10.084816249999999</v>
      </c>
      <c r="Y53">
        <v>16.929590409999999</v>
      </c>
      <c r="Z53">
        <v>1.3639100000000001E-3</v>
      </c>
      <c r="AA53">
        <v>9.3790788000000003</v>
      </c>
      <c r="AB53">
        <v>0.11076092999999999</v>
      </c>
      <c r="AC53">
        <v>3.2397967200000002</v>
      </c>
      <c r="AD53">
        <v>2.9052809999999998E-2</v>
      </c>
      <c r="AE53">
        <v>0.17703144000000001</v>
      </c>
      <c r="AF53">
        <v>2.3368259999999998E-2</v>
      </c>
      <c r="AG53">
        <v>1.5671302499999999</v>
      </c>
      <c r="AH53">
        <v>3.543429E-2</v>
      </c>
      <c r="AI53">
        <v>0.11697340000000001</v>
      </c>
      <c r="AJ53">
        <v>4.90009E-2</v>
      </c>
      <c r="AK53">
        <v>0.66362776000000001</v>
      </c>
      <c r="AL53">
        <v>0.14555193999999999</v>
      </c>
      <c r="AM53">
        <v>0.39298851000000001</v>
      </c>
      <c r="AN53">
        <v>4.1713640000000003E-2</v>
      </c>
      <c r="AO53">
        <v>0.39945977999999999</v>
      </c>
      <c r="AP53">
        <v>8.5845229999999995E-2</v>
      </c>
      <c r="AQ53">
        <v>7.9700499999999994E-3</v>
      </c>
      <c r="AR53">
        <v>1.6358459999999998E-2</v>
      </c>
      <c r="AS53">
        <v>0.14327417000000001</v>
      </c>
      <c r="AT53" s="4">
        <v>0</v>
      </c>
      <c r="AU53">
        <v>2.2081744400000001</v>
      </c>
      <c r="AV53">
        <v>39.42289229</v>
      </c>
      <c r="AW53">
        <v>14.313236440000001</v>
      </c>
      <c r="AX53">
        <v>22.901481409999999</v>
      </c>
      <c r="AY53" s="4">
        <v>0</v>
      </c>
      <c r="AZ53">
        <f t="shared" si="38"/>
        <v>401.69280921000001</v>
      </c>
      <c r="BB53" s="21"/>
      <c r="BC53" s="4" t="s">
        <v>8</v>
      </c>
      <c r="BD53" s="1">
        <f t="shared" si="42"/>
        <v>1.8646258442641387E-4</v>
      </c>
      <c r="BE53" s="1">
        <f t="shared" si="41"/>
        <v>1.5515927571857244E-3</v>
      </c>
      <c r="BF53" s="1">
        <f t="shared" si="0"/>
        <v>9.248503974763221E-4</v>
      </c>
      <c r="BG53" s="1">
        <f t="shared" si="1"/>
        <v>3.1773745065331449E-6</v>
      </c>
      <c r="BH53" s="1">
        <f t="shared" si="2"/>
        <v>5.3750452581203321E-5</v>
      </c>
      <c r="BI53" s="1">
        <f t="shared" si="3"/>
        <v>6.5250330674496745E-6</v>
      </c>
      <c r="BJ53" s="1">
        <f t="shared" si="4"/>
        <v>1.1953160702975042E-5</v>
      </c>
      <c r="BK53" s="1">
        <f t="shared" si="5"/>
        <v>1.1385808278255244E-4</v>
      </c>
      <c r="BL53" s="1">
        <f t="shared" si="6"/>
        <v>8.5564965843366834E-3</v>
      </c>
      <c r="BM53" s="1">
        <f>M53/M$92</f>
        <v>1.3869007513636849E-2</v>
      </c>
      <c r="BN53" s="1">
        <f t="shared" si="7"/>
        <v>3.6252261040663707E-4</v>
      </c>
      <c r="BO53" s="1">
        <f t="shared" si="8"/>
        <v>2.2230236859125709E-5</v>
      </c>
      <c r="BP53" s="1">
        <f t="shared" si="9"/>
        <v>3.8499330064430064E-5</v>
      </c>
      <c r="BQ53" s="1">
        <f t="shared" si="10"/>
        <v>2.3474476092569726E-4</v>
      </c>
      <c r="BR53" s="1">
        <f t="shared" si="11"/>
        <v>4.748912726469062E-5</v>
      </c>
      <c r="BS53" s="1">
        <f t="shared" si="12"/>
        <v>1.1956885507778272E-5</v>
      </c>
      <c r="BT53" s="1">
        <f t="shared" si="13"/>
        <v>3.70528261518196E-5</v>
      </c>
      <c r="BU53" s="1">
        <f t="shared" si="14"/>
        <v>1.8442000426824331E-4</v>
      </c>
      <c r="BV53" s="1">
        <f t="shared" si="15"/>
        <v>7.7015565692570631E-6</v>
      </c>
      <c r="BW53" s="1">
        <f t="shared" si="16"/>
        <v>4.5978197917184314E-4</v>
      </c>
      <c r="BX53" s="1">
        <f t="shared" si="17"/>
        <v>1.0067122568688954E-3</v>
      </c>
      <c r="BY53" s="1">
        <f t="shared" si="18"/>
        <v>8.0085901040259228E-3</v>
      </c>
      <c r="BZ53" s="1">
        <f t="shared" si="19"/>
        <v>2.2935836804665661E-6</v>
      </c>
      <c r="CA53" s="1">
        <f t="shared" si="20"/>
        <v>3.0381383865119585E-4</v>
      </c>
      <c r="CB53" s="1">
        <f t="shared" si="21"/>
        <v>6.0103340584997617E-6</v>
      </c>
      <c r="CC53" s="1">
        <f t="shared" si="22"/>
        <v>2.0396336279358799E-4</v>
      </c>
      <c r="CD53" s="1">
        <f t="shared" si="23"/>
        <v>4.4759007110353894E-6</v>
      </c>
      <c r="CE53" s="1">
        <f t="shared" si="24"/>
        <v>1.1079627909339454E-5</v>
      </c>
      <c r="CF53" s="1">
        <f t="shared" si="25"/>
        <v>6.3062066290736132E-6</v>
      </c>
      <c r="CG53" s="1">
        <f t="shared" si="26"/>
        <v>9.5177797715191614E-4</v>
      </c>
      <c r="CH53" s="1">
        <f t="shared" si="27"/>
        <v>2.1140977734600927E-6</v>
      </c>
      <c r="CI53" s="1">
        <f t="shared" si="28"/>
        <v>9.2012609885906317E-6</v>
      </c>
      <c r="CJ53" s="1">
        <f t="shared" si="29"/>
        <v>3.9722267872163633E-6</v>
      </c>
      <c r="CK53" s="1">
        <f t="shared" si="30"/>
        <v>4.5059432344211122E-5</v>
      </c>
      <c r="CL53" s="1">
        <f t="shared" si="31"/>
        <v>4.7608135500569216E-5</v>
      </c>
      <c r="CM53" s="1">
        <f t="shared" si="32"/>
        <v>5.7839981617423305E-5</v>
      </c>
      <c r="CN53" s="1">
        <f t="shared" si="33"/>
        <v>2.7722823966911655E-5</v>
      </c>
      <c r="CO53" s="1">
        <f t="shared" si="34"/>
        <v>8.1106869379401456E-5</v>
      </c>
      <c r="CP53" s="1">
        <f t="shared" si="35"/>
        <v>1.3524099945264346E-5</v>
      </c>
      <c r="CQ53" s="1">
        <f t="shared" si="36"/>
        <v>1.2656257818360173E-6</v>
      </c>
      <c r="CR53" s="1">
        <f t="shared" si="37"/>
        <v>7.0988007864633565E-6</v>
      </c>
      <c r="CS53" s="25">
        <f t="shared" si="40"/>
        <v>1.4316067167848913E-5</v>
      </c>
    </row>
    <row r="54" spans="1:97" x14ac:dyDescent="0.25">
      <c r="A54" s="14"/>
      <c r="B54" s="11"/>
      <c r="C54" t="s">
        <v>9</v>
      </c>
      <c r="D54">
        <v>0.98438840999999999</v>
      </c>
      <c r="E54">
        <v>11.58377385</v>
      </c>
      <c r="F54">
        <v>0.58627015000000005</v>
      </c>
      <c r="G54">
        <v>13.644819569999999</v>
      </c>
      <c r="H54">
        <v>17.9583303</v>
      </c>
      <c r="I54">
        <v>12.5556771</v>
      </c>
      <c r="J54">
        <v>9.0859993899999996</v>
      </c>
      <c r="K54">
        <v>23.463305980000001</v>
      </c>
      <c r="L54">
        <v>16.672494919999998</v>
      </c>
      <c r="M54">
        <v>907.19983575000003</v>
      </c>
      <c r="N54">
        <v>7.8779274900000003</v>
      </c>
      <c r="O54">
        <v>2.4861255099999999</v>
      </c>
      <c r="P54">
        <v>11.88750366</v>
      </c>
      <c r="Q54">
        <v>17.850233960000001</v>
      </c>
      <c r="R54">
        <v>46.053976329999998</v>
      </c>
      <c r="S54">
        <v>120.12457139</v>
      </c>
      <c r="T54">
        <v>74.185125729999996</v>
      </c>
      <c r="U54">
        <v>4.9508424599999996</v>
      </c>
      <c r="V54">
        <v>3.7069509799999998</v>
      </c>
      <c r="W54">
        <v>1.76264614</v>
      </c>
      <c r="X54">
        <v>0.49369687000000001</v>
      </c>
      <c r="Y54">
        <v>0.17713027000000001</v>
      </c>
      <c r="Z54">
        <v>2.0602622899999998</v>
      </c>
      <c r="AA54">
        <v>9.9875319000000005</v>
      </c>
      <c r="AB54">
        <v>8.0615220000000001E-2</v>
      </c>
      <c r="AC54">
        <v>0.61057289999999997</v>
      </c>
      <c r="AD54">
        <v>0.42855937</v>
      </c>
      <c r="AE54">
        <v>13.836823450000001</v>
      </c>
      <c r="AF54">
        <v>0.26205764999999998</v>
      </c>
      <c r="AG54">
        <v>0.22212802000000001</v>
      </c>
      <c r="AH54">
        <v>8.9472479999999993E-2</v>
      </c>
      <c r="AI54">
        <v>4.91107E-3</v>
      </c>
      <c r="AJ54">
        <v>5.5897059999999998E-2</v>
      </c>
      <c r="AK54">
        <v>0.29452256999999998</v>
      </c>
      <c r="AL54">
        <v>4.4431579000000001</v>
      </c>
      <c r="AM54">
        <v>0.96855157999999997</v>
      </c>
      <c r="AN54">
        <v>1.5397819100000001</v>
      </c>
      <c r="AO54">
        <v>4.0712797900000002</v>
      </c>
      <c r="AP54">
        <v>0.11927877000000001</v>
      </c>
      <c r="AQ54">
        <v>124.74166305999999</v>
      </c>
      <c r="AR54">
        <v>0.79658534000000003</v>
      </c>
      <c r="AS54">
        <v>4.8438179999999997E-2</v>
      </c>
      <c r="AT54" s="4">
        <v>0</v>
      </c>
      <c r="AU54">
        <v>20.252539980000002</v>
      </c>
      <c r="AV54">
        <v>364.25402077000001</v>
      </c>
      <c r="AW54">
        <v>329.60193349000002</v>
      </c>
      <c r="AX54">
        <v>14.399547310000001</v>
      </c>
      <c r="AY54" s="4">
        <v>0</v>
      </c>
      <c r="AZ54">
        <f t="shared" si="38"/>
        <v>1834.2077374900005</v>
      </c>
      <c r="BB54" s="21"/>
      <c r="BC54" s="4" t="s">
        <v>9</v>
      </c>
      <c r="BD54" s="1">
        <f t="shared" si="42"/>
        <v>8.1828063961840013E-4</v>
      </c>
      <c r="BE54" s="1">
        <f t="shared" si="41"/>
        <v>1.5774021778855408E-3</v>
      </c>
      <c r="BF54" s="1">
        <f t="shared" si="0"/>
        <v>6.9100773332176886E-4</v>
      </c>
      <c r="BG54" s="1">
        <f t="shared" si="1"/>
        <v>1.189489777888934E-3</v>
      </c>
      <c r="BH54" s="1">
        <f t="shared" si="2"/>
        <v>5.8632400842986779E-3</v>
      </c>
      <c r="BI54" s="1">
        <f t="shared" si="3"/>
        <v>3.7409210434936162E-3</v>
      </c>
      <c r="BJ54" s="1">
        <f t="shared" si="4"/>
        <v>3.1173095720669728E-3</v>
      </c>
      <c r="BK54" s="1">
        <f t="shared" si="5"/>
        <v>5.1705099518297316E-3</v>
      </c>
      <c r="BL54" s="1">
        <f t="shared" si="6"/>
        <v>2.9542002644085161E-3</v>
      </c>
      <c r="BM54" s="1">
        <f>M54/M$92</f>
        <v>5.0678066055845968E-2</v>
      </c>
      <c r="BN54" s="1">
        <f t="shared" si="7"/>
        <v>5.1781864747656896E-4</v>
      </c>
      <c r="BO54" s="1">
        <f t="shared" si="8"/>
        <v>3.7306107418096806E-4</v>
      </c>
      <c r="BP54" s="1">
        <f t="shared" si="9"/>
        <v>1.7456905836973156E-3</v>
      </c>
      <c r="BQ54" s="1">
        <f t="shared" si="10"/>
        <v>3.5245998489121235E-3</v>
      </c>
      <c r="BR54" s="1">
        <f t="shared" si="11"/>
        <v>3.7388515187999037E-3</v>
      </c>
      <c r="BS54" s="1">
        <f t="shared" si="12"/>
        <v>1.0559106357707456E-2</v>
      </c>
      <c r="BT54" s="1">
        <f t="shared" si="13"/>
        <v>4.8517192527549758E-3</v>
      </c>
      <c r="BU54" s="1">
        <f t="shared" si="14"/>
        <v>3.700218785350247E-3</v>
      </c>
      <c r="BV54" s="1">
        <f t="shared" si="15"/>
        <v>2.0737573252976264E-3</v>
      </c>
      <c r="BW54" s="1">
        <f t="shared" si="16"/>
        <v>3.5667640863139864E-3</v>
      </c>
      <c r="BX54" s="1">
        <f t="shared" si="17"/>
        <v>4.9283068514690065E-5</v>
      </c>
      <c r="BY54" s="1">
        <f t="shared" si="18"/>
        <v>8.3791969745914237E-5</v>
      </c>
      <c r="BZ54" s="1">
        <f t="shared" si="19"/>
        <v>3.4645863479442741E-3</v>
      </c>
      <c r="CA54" s="1">
        <f t="shared" si="20"/>
        <v>3.235232872966449E-4</v>
      </c>
      <c r="CB54" s="1">
        <f t="shared" si="21"/>
        <v>4.3745064473497217E-6</v>
      </c>
      <c r="CC54" s="1">
        <f t="shared" si="22"/>
        <v>3.8438986355487487E-5</v>
      </c>
      <c r="CD54" s="1">
        <f t="shared" si="23"/>
        <v>6.6024222404093734E-5</v>
      </c>
      <c r="CE54" s="1">
        <f t="shared" si="24"/>
        <v>8.6598660256744582E-4</v>
      </c>
      <c r="CF54" s="1">
        <f t="shared" si="25"/>
        <v>7.071941555038555E-5</v>
      </c>
      <c r="CG54" s="1">
        <f t="shared" si="26"/>
        <v>1.3490681935618331E-4</v>
      </c>
      <c r="CH54" s="1">
        <f t="shared" si="27"/>
        <v>5.3381504399820808E-6</v>
      </c>
      <c r="CI54" s="1">
        <f t="shared" si="28"/>
        <v>3.8631036460629329E-7</v>
      </c>
      <c r="CJ54" s="1">
        <f t="shared" si="29"/>
        <v>4.5312596107140945E-6</v>
      </c>
      <c r="CK54" s="1">
        <f t="shared" si="30"/>
        <v>1.9997686378819028E-5</v>
      </c>
      <c r="CL54" s="1">
        <f t="shared" si="31"/>
        <v>1.4532988248292986E-3</v>
      </c>
      <c r="CM54" s="1">
        <f t="shared" si="32"/>
        <v>1.4255125571667807E-4</v>
      </c>
      <c r="CN54" s="1">
        <f t="shared" si="33"/>
        <v>1.0233367991468738E-3</v>
      </c>
      <c r="CO54" s="1">
        <f t="shared" si="34"/>
        <v>8.2663831170819504E-4</v>
      </c>
      <c r="CP54" s="1">
        <f t="shared" si="35"/>
        <v>1.87912363544043E-5</v>
      </c>
      <c r="CQ54" s="1">
        <f t="shared" si="36"/>
        <v>1.9808691895011644E-2</v>
      </c>
      <c r="CR54" s="1">
        <f t="shared" si="37"/>
        <v>3.4568050036966688E-4</v>
      </c>
      <c r="CS54" s="25">
        <f t="shared" si="40"/>
        <v>4.8399808448958786E-6</v>
      </c>
    </row>
    <row r="55" spans="1:97" x14ac:dyDescent="0.25">
      <c r="A55" s="14"/>
      <c r="B55" s="11"/>
      <c r="C55" t="s">
        <v>10</v>
      </c>
      <c r="D55">
        <v>1.1882034699999999</v>
      </c>
      <c r="E55">
        <v>1.6664976199999999</v>
      </c>
      <c r="F55">
        <v>5.9200389999999999E-2</v>
      </c>
      <c r="G55">
        <v>1.5882110000000001E-2</v>
      </c>
      <c r="H55">
        <v>1.6948609999999999E-2</v>
      </c>
      <c r="I55">
        <v>5.4460100000000003E-3</v>
      </c>
      <c r="J55">
        <v>0.26908391999999998</v>
      </c>
      <c r="K55">
        <v>250.27869458000001</v>
      </c>
      <c r="L55">
        <v>0.48831972000000001</v>
      </c>
      <c r="M55">
        <v>22.305464090000001</v>
      </c>
      <c r="N55">
        <v>751.21338863999995</v>
      </c>
      <c r="O55">
        <v>115.86968117000001</v>
      </c>
      <c r="P55">
        <v>19.42760659</v>
      </c>
      <c r="Q55">
        <v>8.3951300900000003</v>
      </c>
      <c r="R55">
        <v>36.299515120000002</v>
      </c>
      <c r="S55">
        <v>69.154844819999994</v>
      </c>
      <c r="T55">
        <v>129.69401551000001</v>
      </c>
      <c r="U55">
        <v>1.3485717699999999</v>
      </c>
      <c r="V55">
        <v>1.9032650799999999</v>
      </c>
      <c r="W55">
        <v>7.9162620000000003E-2</v>
      </c>
      <c r="X55">
        <v>0.45437948</v>
      </c>
      <c r="Y55">
        <v>2.5465399999999999E-3</v>
      </c>
      <c r="Z55">
        <v>1.41821E-3</v>
      </c>
      <c r="AA55">
        <v>12.01303293</v>
      </c>
      <c r="AB55">
        <v>6.7124000000000003E-4</v>
      </c>
      <c r="AC55">
        <v>1.718774E-2</v>
      </c>
      <c r="AD55">
        <v>1.3585E-4</v>
      </c>
      <c r="AE55">
        <v>2.556056E-2</v>
      </c>
      <c r="AF55">
        <v>0.26470808000000001</v>
      </c>
      <c r="AG55">
        <v>0.85900728000000004</v>
      </c>
      <c r="AH55">
        <v>1.3883999999999999E-4</v>
      </c>
      <c r="AI55">
        <v>8.1999999999999998E-7</v>
      </c>
      <c r="AJ55">
        <v>1.1854669999999999E-2</v>
      </c>
      <c r="AK55">
        <v>2.3415E-4</v>
      </c>
      <c r="AL55">
        <v>3.5387999999999999E-3</v>
      </c>
      <c r="AM55">
        <v>2.142554E-2</v>
      </c>
      <c r="AN55">
        <v>2.89025E-3</v>
      </c>
      <c r="AO55">
        <v>2.2182700000000001E-3</v>
      </c>
      <c r="AP55">
        <v>1.1244499999999999E-3</v>
      </c>
      <c r="AQ55">
        <v>1.5569999999999998E-5</v>
      </c>
      <c r="AR55">
        <v>5.6360000000000002E-5</v>
      </c>
      <c r="AS55">
        <v>7.7000000000000008E-6</v>
      </c>
      <c r="AT55" s="4">
        <v>0</v>
      </c>
      <c r="AU55">
        <v>6.6679693200000001</v>
      </c>
      <c r="AV55">
        <v>15.55214119</v>
      </c>
      <c r="AW55">
        <v>0</v>
      </c>
      <c r="AX55">
        <v>8.8841718600000004</v>
      </c>
      <c r="AY55" s="4">
        <v>0</v>
      </c>
      <c r="AZ55">
        <f t="shared" si="38"/>
        <v>1438.9132164500002</v>
      </c>
      <c r="BB55" s="21"/>
      <c r="BC55" s="4" t="s">
        <v>10</v>
      </c>
      <c r="BD55" s="1">
        <f t="shared" si="42"/>
        <v>9.8770351778969278E-4</v>
      </c>
      <c r="BE55" s="1">
        <f t="shared" si="41"/>
        <v>2.2693269130328111E-4</v>
      </c>
      <c r="BF55" s="1">
        <f t="shared" si="0"/>
        <v>6.9776582187690612E-5</v>
      </c>
      <c r="BG55" s="1">
        <f t="shared" si="1"/>
        <v>1.3845260026628276E-6</v>
      </c>
      <c r="BH55" s="1">
        <f t="shared" si="2"/>
        <v>5.5335751077674189E-6</v>
      </c>
      <c r="BI55" s="1">
        <f t="shared" si="3"/>
        <v>1.622620050660324E-6</v>
      </c>
      <c r="BJ55" s="1">
        <f t="shared" si="4"/>
        <v>9.2319825646092573E-5</v>
      </c>
      <c r="BK55" s="1">
        <f t="shared" si="5"/>
        <v>5.515286218233275E-2</v>
      </c>
      <c r="BL55" s="1">
        <f t="shared" si="6"/>
        <v>8.6525397240300525E-5</v>
      </c>
      <c r="BM55" s="1">
        <f>M55/M$92</f>
        <v>1.246029527358543E-3</v>
      </c>
      <c r="BN55" s="1">
        <f t="shared" si="7"/>
        <v>4.9377491905787385E-2</v>
      </c>
      <c r="BO55" s="1">
        <f t="shared" si="8"/>
        <v>1.7387081846196289E-2</v>
      </c>
      <c r="BP55" s="1">
        <f t="shared" si="9"/>
        <v>2.8529614676004156E-3</v>
      </c>
      <c r="BQ55" s="1">
        <f t="shared" si="10"/>
        <v>1.6576519004242577E-3</v>
      </c>
      <c r="BR55" s="1">
        <f t="shared" si="11"/>
        <v>2.9469441740626371E-3</v>
      </c>
      <c r="BS55" s="1">
        <f t="shared" si="12"/>
        <v>6.0788009743185855E-3</v>
      </c>
      <c r="BT55" s="1">
        <f t="shared" si="13"/>
        <v>8.4820096458030157E-3</v>
      </c>
      <c r="BU55" s="1">
        <f t="shared" si="14"/>
        <v>1.0079114084246246E-3</v>
      </c>
      <c r="BV55" s="1">
        <f t="shared" si="15"/>
        <v>1.0647321539798656E-3</v>
      </c>
      <c r="BW55" s="1">
        <f t="shared" si="16"/>
        <v>1.6018779015652076E-4</v>
      </c>
      <c r="BX55" s="1">
        <f t="shared" si="17"/>
        <v>4.5358227700550833E-5</v>
      </c>
      <c r="BY55" s="1">
        <f t="shared" si="18"/>
        <v>1.204647870952607E-6</v>
      </c>
      <c r="BZ55" s="1">
        <f t="shared" si="19"/>
        <v>2.3848958593121894E-6</v>
      </c>
      <c r="CA55" s="1">
        <f t="shared" si="20"/>
        <v>3.8913476751112509E-4</v>
      </c>
      <c r="CB55" s="1">
        <f t="shared" si="21"/>
        <v>3.6424185255824238E-8</v>
      </c>
      <c r="CC55" s="1">
        <f t="shared" si="22"/>
        <v>1.0820645713913384E-6</v>
      </c>
      <c r="CD55" s="1">
        <f t="shared" si="23"/>
        <v>2.0929166975385777E-8</v>
      </c>
      <c r="CE55" s="1">
        <f t="shared" si="24"/>
        <v>1.5997242860044841E-6</v>
      </c>
      <c r="CF55" s="1">
        <f t="shared" si="25"/>
        <v>7.1434666032701993E-5</v>
      </c>
      <c r="CG55" s="1">
        <f t="shared" si="26"/>
        <v>5.2170788695908956E-4</v>
      </c>
      <c r="CH55" s="1">
        <f t="shared" si="27"/>
        <v>8.2835393306088329E-9</v>
      </c>
      <c r="CI55" s="1">
        <f t="shared" si="28"/>
        <v>6.4502134764350844E-11</v>
      </c>
      <c r="CJ55" s="1">
        <f t="shared" si="29"/>
        <v>9.6099128235624652E-7</v>
      </c>
      <c r="CK55" s="1">
        <f t="shared" si="30"/>
        <v>1.5898470075147299E-8</v>
      </c>
      <c r="CL55" s="1">
        <f t="shared" si="31"/>
        <v>1.1574951863191542E-6</v>
      </c>
      <c r="CM55" s="1">
        <f t="shared" si="32"/>
        <v>3.153407308888923E-6</v>
      </c>
      <c r="CN55" s="1">
        <f t="shared" si="33"/>
        <v>1.9208559111687785E-6</v>
      </c>
      <c r="CO55" s="1">
        <f t="shared" si="34"/>
        <v>4.5040062641161238E-7</v>
      </c>
      <c r="CP55" s="1">
        <f t="shared" si="35"/>
        <v>1.7714640852441648E-7</v>
      </c>
      <c r="CQ55" s="1">
        <f t="shared" si="36"/>
        <v>2.4724805268708215E-9</v>
      </c>
      <c r="CR55" s="1">
        <f t="shared" si="37"/>
        <v>2.4457584168991142E-8</v>
      </c>
      <c r="CS55" s="25">
        <f t="shared" si="40"/>
        <v>7.6939002468090823E-10</v>
      </c>
    </row>
    <row r="56" spans="1:97" x14ac:dyDescent="0.25">
      <c r="A56" s="14"/>
      <c r="B56" s="11"/>
      <c r="C56" t="s">
        <v>11</v>
      </c>
      <c r="D56">
        <v>6.8877709999999995E-2</v>
      </c>
      <c r="E56">
        <v>0.34201436000000002</v>
      </c>
      <c r="F56">
        <v>7.9329179999999999E-2</v>
      </c>
      <c r="G56">
        <v>0.13824581</v>
      </c>
      <c r="H56">
        <v>0.14831918999999999</v>
      </c>
      <c r="I56">
        <v>0.70468461000000004</v>
      </c>
      <c r="J56">
        <v>3.0615846100000002</v>
      </c>
      <c r="K56">
        <v>0.81968070999999998</v>
      </c>
      <c r="L56">
        <v>2.338405E-2</v>
      </c>
      <c r="M56">
        <v>0.95350886999999995</v>
      </c>
      <c r="N56">
        <v>2.4428879399999999</v>
      </c>
      <c r="O56">
        <v>13.224180759999999</v>
      </c>
      <c r="P56">
        <v>7.6330091400000004</v>
      </c>
      <c r="Q56">
        <v>4.7567865899999999</v>
      </c>
      <c r="R56">
        <v>10.0679832</v>
      </c>
      <c r="S56">
        <v>5.5886127099999996</v>
      </c>
      <c r="T56">
        <v>3.6871518999999999</v>
      </c>
      <c r="U56">
        <v>0.69759852</v>
      </c>
      <c r="V56">
        <v>0.33526856999999999</v>
      </c>
      <c r="W56">
        <v>3.2673870000000001E-2</v>
      </c>
      <c r="X56">
        <v>1.1572310000000001E-2</v>
      </c>
      <c r="Y56">
        <v>3.91895E-3</v>
      </c>
      <c r="Z56">
        <v>2.9065710000000002E-2</v>
      </c>
      <c r="AA56">
        <v>5.6945229199999998</v>
      </c>
      <c r="AB56">
        <v>3.5713199999999998E-3</v>
      </c>
      <c r="AC56">
        <v>0.11099085</v>
      </c>
      <c r="AD56">
        <v>7.9528639999999998E-2</v>
      </c>
      <c r="AE56">
        <v>0.12480392</v>
      </c>
      <c r="AF56">
        <v>0.18870049</v>
      </c>
      <c r="AG56">
        <v>5.9552090000000002E-2</v>
      </c>
      <c r="AH56">
        <v>6.9048910000000005E-2</v>
      </c>
      <c r="AI56">
        <v>3.858E-4</v>
      </c>
      <c r="AJ56">
        <v>3.083837E-2</v>
      </c>
      <c r="AK56">
        <v>0.31467141999999998</v>
      </c>
      <c r="AL56">
        <v>0.33463975000000001</v>
      </c>
      <c r="AM56">
        <v>0.38046516000000002</v>
      </c>
      <c r="AN56">
        <v>0.12124714</v>
      </c>
      <c r="AO56">
        <v>0.28555488000000001</v>
      </c>
      <c r="AP56">
        <v>5.122985E-2</v>
      </c>
      <c r="AQ56">
        <v>4.0626429999999998E-2</v>
      </c>
      <c r="AR56">
        <v>0.11907157</v>
      </c>
      <c r="AS56">
        <v>4.0727489999999998E-2</v>
      </c>
      <c r="AT56" s="4">
        <v>9.0271461899999998</v>
      </c>
      <c r="AU56">
        <v>0.58420282999999995</v>
      </c>
      <c r="AV56">
        <v>14.609328290000001</v>
      </c>
      <c r="AW56">
        <v>4.0110666799999999</v>
      </c>
      <c r="AX56">
        <v>0.98691258000000004</v>
      </c>
      <c r="AY56" s="4">
        <v>0</v>
      </c>
      <c r="AZ56">
        <f t="shared" si="38"/>
        <v>77.509844559999991</v>
      </c>
      <c r="BB56" s="21"/>
      <c r="BC56" s="4" t="s">
        <v>11</v>
      </c>
      <c r="BD56" s="1">
        <f t="shared" si="42"/>
        <v>5.7255140371116999E-5</v>
      </c>
      <c r="BE56" s="1">
        <f t="shared" si="41"/>
        <v>4.6573267340861406E-5</v>
      </c>
      <c r="BF56" s="1">
        <f t="shared" si="0"/>
        <v>9.3501394976487536E-5</v>
      </c>
      <c r="BG56" s="1">
        <f t="shared" si="1"/>
        <v>1.2051605152223774E-5</v>
      </c>
      <c r="BH56" s="1">
        <f t="shared" si="2"/>
        <v>4.8424937371750623E-5</v>
      </c>
      <c r="BI56" s="1">
        <f t="shared" si="3"/>
        <v>2.0995836907713181E-4</v>
      </c>
      <c r="BJ56" s="1">
        <f t="shared" si="4"/>
        <v>1.0503970560409568E-3</v>
      </c>
      <c r="BK56" s="1">
        <f t="shared" si="5"/>
        <v>1.8062958698106957E-4</v>
      </c>
      <c r="BL56" s="1">
        <f t="shared" si="6"/>
        <v>4.1434210671177675E-6</v>
      </c>
      <c r="BM56" s="1">
        <f>M56/M$92</f>
        <v>5.3264984840684309E-5</v>
      </c>
      <c r="BN56" s="1">
        <f t="shared" si="7"/>
        <v>1.6057179132879042E-4</v>
      </c>
      <c r="BO56" s="1">
        <f t="shared" si="8"/>
        <v>1.9843837568316856E-3</v>
      </c>
      <c r="BP56" s="1">
        <f t="shared" si="9"/>
        <v>1.1209142442420534E-3</v>
      </c>
      <c r="BQ56" s="1">
        <f t="shared" si="10"/>
        <v>9.392464734070755E-4</v>
      </c>
      <c r="BR56" s="1">
        <f t="shared" si="11"/>
        <v>8.1736035144594249E-4</v>
      </c>
      <c r="BS56" s="1">
        <f t="shared" si="12"/>
        <v>4.9124633964636277E-4</v>
      </c>
      <c r="BT56" s="1">
        <f t="shared" si="13"/>
        <v>2.4114033217615587E-4</v>
      </c>
      <c r="BU56" s="1">
        <f t="shared" si="14"/>
        <v>5.2137937516527849E-4</v>
      </c>
      <c r="BV56" s="1">
        <f t="shared" si="15"/>
        <v>1.8755728271852143E-4</v>
      </c>
      <c r="BW56" s="1">
        <f t="shared" si="16"/>
        <v>6.6116495779970885E-5</v>
      </c>
      <c r="BX56" s="1">
        <f t="shared" si="17"/>
        <v>1.1552006529902306E-6</v>
      </c>
      <c r="BY56" s="1">
        <f t="shared" si="18"/>
        <v>1.8538702607733314E-6</v>
      </c>
      <c r="BZ56" s="1">
        <f t="shared" si="19"/>
        <v>4.8877593182228935E-5</v>
      </c>
      <c r="CA56" s="1">
        <f t="shared" si="20"/>
        <v>1.8446106536735958E-4</v>
      </c>
      <c r="CB56" s="1">
        <f t="shared" si="21"/>
        <v>1.937942036944017E-7</v>
      </c>
      <c r="CC56" s="1">
        <f t="shared" si="22"/>
        <v>6.9874961183733485E-6</v>
      </c>
      <c r="CD56" s="1">
        <f t="shared" si="23"/>
        <v>1.2252250172140923E-5</v>
      </c>
      <c r="CE56" s="1">
        <f t="shared" si="24"/>
        <v>7.8109345731298832E-6</v>
      </c>
      <c r="CF56" s="1">
        <f t="shared" si="25"/>
        <v>5.0923101717776129E-5</v>
      </c>
      <c r="CG56" s="1">
        <f t="shared" si="26"/>
        <v>3.6168255800925835E-5</v>
      </c>
      <c r="CH56" s="1">
        <f t="shared" si="27"/>
        <v>4.1196295139777413E-6</v>
      </c>
      <c r="CI56" s="1">
        <f t="shared" si="28"/>
        <v>3.0347467795227506E-8</v>
      </c>
      <c r="CJ56" s="1">
        <f t="shared" si="29"/>
        <v>2.4998928466230106E-6</v>
      </c>
      <c r="CK56" s="1">
        <f t="shared" si="30"/>
        <v>2.1365766194209298E-5</v>
      </c>
      <c r="CL56" s="1">
        <f t="shared" si="31"/>
        <v>1.0945628455296858E-4</v>
      </c>
      <c r="CM56" s="1">
        <f t="shared" si="32"/>
        <v>5.5996797108571996E-5</v>
      </c>
      <c r="CN56" s="1">
        <f t="shared" si="33"/>
        <v>8.0580671423339999E-5</v>
      </c>
      <c r="CO56" s="1">
        <f t="shared" si="34"/>
        <v>5.797946004178608E-5</v>
      </c>
      <c r="CP56" s="1">
        <f t="shared" si="35"/>
        <v>8.0707758786469636E-6</v>
      </c>
      <c r="CQ56" s="1">
        <f t="shared" si="36"/>
        <v>6.4513845248092832E-6</v>
      </c>
      <c r="CR56" s="1">
        <f t="shared" si="37"/>
        <v>5.1671450415346358E-5</v>
      </c>
      <c r="CS56" s="25">
        <f t="shared" si="40"/>
        <v>4.0695226670508363E-6</v>
      </c>
    </row>
    <row r="57" spans="1:97" x14ac:dyDescent="0.25">
      <c r="A57" s="14"/>
      <c r="B57" s="11"/>
      <c r="C57" t="s">
        <v>12</v>
      </c>
      <c r="D57">
        <v>7.3537489999999997E-2</v>
      </c>
      <c r="E57">
        <v>0.57516007000000002</v>
      </c>
      <c r="F57">
        <v>4.8484899999999997E-2</v>
      </c>
      <c r="G57">
        <v>0.20284505999999999</v>
      </c>
      <c r="H57">
        <v>9.3061550000000007E-2</v>
      </c>
      <c r="I57">
        <v>4.3246519999999997E-2</v>
      </c>
      <c r="J57">
        <v>7.9455719999999994E-2</v>
      </c>
      <c r="K57">
        <v>0.53895567</v>
      </c>
      <c r="L57">
        <v>0.12710581000000001</v>
      </c>
      <c r="M57">
        <v>0.65142135000000001</v>
      </c>
      <c r="N57">
        <v>0.3989432</v>
      </c>
      <c r="O57">
        <v>4.1343835499999999</v>
      </c>
      <c r="P57">
        <v>101.46663967000001</v>
      </c>
      <c r="Q57">
        <v>38.886538289999997</v>
      </c>
      <c r="R57">
        <v>121.26586919</v>
      </c>
      <c r="S57">
        <v>18.30170893</v>
      </c>
      <c r="T57">
        <v>4.5006243599999998</v>
      </c>
      <c r="U57">
        <v>2.0870681200000001</v>
      </c>
      <c r="V57">
        <v>1.0804606999999999</v>
      </c>
      <c r="W57">
        <v>3.4538606500000002</v>
      </c>
      <c r="X57">
        <v>0.53152834000000004</v>
      </c>
      <c r="Y57">
        <v>1.379233E-2</v>
      </c>
      <c r="Z57">
        <v>4.9888099999999998E-3</v>
      </c>
      <c r="AA57">
        <v>2.0385464400000002</v>
      </c>
      <c r="AB57">
        <v>2.0137390000000002E-2</v>
      </c>
      <c r="AC57">
        <v>0.39278848999999999</v>
      </c>
      <c r="AD57">
        <v>5.8384209999999999E-2</v>
      </c>
      <c r="AE57">
        <v>3.3727479999999997E-2</v>
      </c>
      <c r="AF57">
        <v>0.13577322</v>
      </c>
      <c r="AG57">
        <v>0.65308073</v>
      </c>
      <c r="AH57">
        <v>6.0080969999999997E-2</v>
      </c>
      <c r="AI57">
        <v>1.095583E-2</v>
      </c>
      <c r="AJ57">
        <v>4.9422600000000004E-3</v>
      </c>
      <c r="AK57">
        <v>3.5026719999999997E-2</v>
      </c>
      <c r="AL57">
        <v>0.13931690999999999</v>
      </c>
      <c r="AM57">
        <v>5.5574099999999996E-3</v>
      </c>
      <c r="AN57">
        <v>6.9232399999999998E-3</v>
      </c>
      <c r="AO57">
        <v>4.0385212800000003</v>
      </c>
      <c r="AP57">
        <v>1.980724E-2</v>
      </c>
      <c r="AQ57">
        <v>2.1319099999999999E-3</v>
      </c>
      <c r="AR57">
        <v>1.304253E-2</v>
      </c>
      <c r="AS57">
        <v>1.9662760000000001E-2</v>
      </c>
      <c r="AT57" s="4">
        <v>224.61384071000001</v>
      </c>
      <c r="AU57">
        <v>9.6115582699999997</v>
      </c>
      <c r="AV57">
        <v>248.48296841000001</v>
      </c>
      <c r="AW57">
        <v>9.9181119300000002</v>
      </c>
      <c r="AX57">
        <v>4.3394575</v>
      </c>
      <c r="AY57" s="4">
        <v>0</v>
      </c>
      <c r="AZ57">
        <f t="shared" si="38"/>
        <v>554.73105571000008</v>
      </c>
      <c r="BB57" s="21"/>
      <c r="BC57" s="4" t="s">
        <v>12</v>
      </c>
      <c r="BD57" s="1">
        <f t="shared" si="42"/>
        <v>6.1128619294828664E-5</v>
      </c>
      <c r="BE57" s="1">
        <f t="shared" si="41"/>
        <v>7.8321517564053624E-5</v>
      </c>
      <c r="BF57" s="1">
        <f t="shared" si="0"/>
        <v>5.7146762203964547E-5</v>
      </c>
      <c r="BG57" s="1">
        <f t="shared" si="1"/>
        <v>1.7683057231167732E-5</v>
      </c>
      <c r="BH57" s="1">
        <f t="shared" si="2"/>
        <v>3.038379410289417E-5</v>
      </c>
      <c r="BI57" s="1">
        <f t="shared" si="3"/>
        <v>1.288515270322359E-5</v>
      </c>
      <c r="BJ57" s="1">
        <f t="shared" si="4"/>
        <v>2.7260410867303965E-5</v>
      </c>
      <c r="BK57" s="1">
        <f t="shared" si="5"/>
        <v>1.1876739184603432E-4</v>
      </c>
      <c r="BL57" s="1">
        <f t="shared" si="6"/>
        <v>2.2521885255422749E-5</v>
      </c>
      <c r="BM57" s="1">
        <f>M57/M$92</f>
        <v>3.6389748878422192E-5</v>
      </c>
      <c r="BN57" s="1">
        <f t="shared" si="7"/>
        <v>2.6222661798575956E-5</v>
      </c>
      <c r="BO57" s="1">
        <f t="shared" si="8"/>
        <v>6.2039408792322959E-4</v>
      </c>
      <c r="BP57" s="1">
        <f t="shared" si="9"/>
        <v>1.4900467120556706E-2</v>
      </c>
      <c r="BQ57" s="1">
        <f t="shared" si="10"/>
        <v>7.6783019924994587E-3</v>
      </c>
      <c r="BR57" s="1">
        <f t="shared" si="11"/>
        <v>9.8448628181596574E-3</v>
      </c>
      <c r="BS57" s="1">
        <f t="shared" si="12"/>
        <v>1.6087440636292814E-3</v>
      </c>
      <c r="BT57" s="1">
        <f t="shared" si="13"/>
        <v>2.9434156297452756E-4</v>
      </c>
      <c r="BU57" s="1">
        <f t="shared" si="14"/>
        <v>1.5598574841199097E-3</v>
      </c>
      <c r="BV57" s="1">
        <f t="shared" si="15"/>
        <v>6.0443564088381906E-4</v>
      </c>
      <c r="BW57" s="1">
        <f t="shared" si="16"/>
        <v>6.9889842583793259E-3</v>
      </c>
      <c r="BX57" s="1">
        <f t="shared" si="17"/>
        <v>5.3059578031595531E-5</v>
      </c>
      <c r="BY57" s="1">
        <f t="shared" si="18"/>
        <v>6.5245002905808553E-6</v>
      </c>
      <c r="BZ57" s="1">
        <f t="shared" si="19"/>
        <v>8.3893022273818713E-6</v>
      </c>
      <c r="CA57" s="1">
        <f t="shared" si="20"/>
        <v>6.6034056479526512E-5</v>
      </c>
      <c r="CB57" s="1">
        <f t="shared" si="21"/>
        <v>1.0927358678397926E-6</v>
      </c>
      <c r="CC57" s="1">
        <f t="shared" si="22"/>
        <v>2.4728237050321973E-5</v>
      </c>
      <c r="CD57" s="1">
        <f t="shared" si="23"/>
        <v>8.9947212353035551E-6</v>
      </c>
      <c r="CE57" s="1">
        <f t="shared" si="24"/>
        <v>2.1108562903837208E-6</v>
      </c>
      <c r="CF57" s="1">
        <f t="shared" si="25"/>
        <v>3.6640039952254478E-5</v>
      </c>
      <c r="CG57" s="1">
        <f t="shared" si="26"/>
        <v>3.9664083831978661E-4</v>
      </c>
      <c r="CH57" s="1">
        <f t="shared" si="27"/>
        <v>3.5845799338528473E-6</v>
      </c>
      <c r="CI57" s="1">
        <f t="shared" si="28"/>
        <v>8.617980769698999E-7</v>
      </c>
      <c r="CJ57" s="1">
        <f t="shared" si="29"/>
        <v>4.0064116294574066E-7</v>
      </c>
      <c r="CK57" s="1">
        <f t="shared" si="30"/>
        <v>2.3782671780933734E-6</v>
      </c>
      <c r="CL57" s="1">
        <f t="shared" si="31"/>
        <v>4.5568738752644631E-5</v>
      </c>
      <c r="CM57" s="1">
        <f t="shared" si="32"/>
        <v>8.1793865230432407E-7</v>
      </c>
      <c r="CN57" s="1">
        <f t="shared" si="33"/>
        <v>4.6011751503988008E-6</v>
      </c>
      <c r="CO57" s="1">
        <f t="shared" si="34"/>
        <v>8.1998697827073653E-4</v>
      </c>
      <c r="CP57" s="1">
        <f t="shared" si="35"/>
        <v>3.1204423751889043E-6</v>
      </c>
      <c r="CQ57" s="1">
        <f t="shared" si="36"/>
        <v>3.3854245086969638E-7</v>
      </c>
      <c r="CR57" s="1">
        <f t="shared" si="37"/>
        <v>5.6598434217812637E-6</v>
      </c>
      <c r="CS57" s="25">
        <f t="shared" si="40"/>
        <v>1.964718363856464E-6</v>
      </c>
    </row>
    <row r="58" spans="1:97" x14ac:dyDescent="0.25">
      <c r="A58" s="14"/>
      <c r="B58" s="11"/>
      <c r="C58" t="s">
        <v>13</v>
      </c>
      <c r="D58">
        <v>2.1927269999999999E-2</v>
      </c>
      <c r="E58">
        <v>0.43242117000000002</v>
      </c>
      <c r="F58">
        <v>0.55438544000000001</v>
      </c>
      <c r="G58">
        <v>1.81189E-2</v>
      </c>
      <c r="H58">
        <v>8.9867089999999997E-2</v>
      </c>
      <c r="I58">
        <v>0.13416559</v>
      </c>
      <c r="J58">
        <v>6.9277920000000007E-2</v>
      </c>
      <c r="K58">
        <v>0.10691491</v>
      </c>
      <c r="L58">
        <v>1.506237E-2</v>
      </c>
      <c r="M58">
        <v>0.12277005000000001</v>
      </c>
      <c r="N58">
        <v>0.95544404999999999</v>
      </c>
      <c r="O58">
        <v>0.58525453999999999</v>
      </c>
      <c r="P58">
        <v>5.5796764300000001</v>
      </c>
      <c r="Q58">
        <v>64.147537799999995</v>
      </c>
      <c r="R58">
        <v>1.8933987000000001</v>
      </c>
      <c r="S58">
        <v>0.31607088</v>
      </c>
      <c r="T58">
        <v>9.2639901800000004</v>
      </c>
      <c r="U58">
        <v>0.13581077999999999</v>
      </c>
      <c r="V58">
        <v>1.1524710000000001E-2</v>
      </c>
      <c r="W58">
        <v>9.3705559999999993E-2</v>
      </c>
      <c r="X58">
        <v>2.7516699999999999E-3</v>
      </c>
      <c r="Y58">
        <v>1.6092999999999999E-4</v>
      </c>
      <c r="Z58">
        <v>1.9028199999999999E-3</v>
      </c>
      <c r="AA58">
        <v>0.17227207</v>
      </c>
      <c r="AB58">
        <v>4.2978999999999999E-4</v>
      </c>
      <c r="AC58">
        <v>1.416857E-2</v>
      </c>
      <c r="AD58">
        <v>2.3547500000000001E-3</v>
      </c>
      <c r="AE58">
        <v>0.12403761000000001</v>
      </c>
      <c r="AF58">
        <v>6.2094160000000002E-2</v>
      </c>
      <c r="AG58">
        <v>0.29873491000000002</v>
      </c>
      <c r="AH58">
        <v>4.4369999999999997E-5</v>
      </c>
      <c r="AI58">
        <v>1.92242E-3</v>
      </c>
      <c r="AJ58">
        <v>1.88408E-3</v>
      </c>
      <c r="AK58">
        <v>4.5880909999999997E-2</v>
      </c>
      <c r="AL58">
        <v>1.05708E-3</v>
      </c>
      <c r="AM58">
        <v>5.636066E-2</v>
      </c>
      <c r="AN58">
        <v>6.9474799999999998E-3</v>
      </c>
      <c r="AO58">
        <v>2.9119999999999998E-4</v>
      </c>
      <c r="AP58">
        <v>1.5286E-4</v>
      </c>
      <c r="AQ58">
        <v>20.866369649999999</v>
      </c>
      <c r="AR58">
        <v>8.5140000000000001E-5</v>
      </c>
      <c r="AS58">
        <v>1.7862240000000001E-2</v>
      </c>
      <c r="AT58" s="4">
        <v>507.58291958000001</v>
      </c>
      <c r="AU58">
        <v>1.93102226</v>
      </c>
      <c r="AV58">
        <v>533.14967920000004</v>
      </c>
      <c r="AW58">
        <v>22.16969666</v>
      </c>
      <c r="AX58">
        <v>1.4660407</v>
      </c>
      <c r="AY58" s="4">
        <v>0</v>
      </c>
      <c r="AZ58">
        <f t="shared" si="38"/>
        <v>639.37476891000006</v>
      </c>
      <c r="BB58" s="21"/>
      <c r="BC58" s="4" t="s">
        <v>13</v>
      </c>
      <c r="BD58" s="1">
        <f t="shared" si="42"/>
        <v>1.8227216349169892E-5</v>
      </c>
      <c r="BE58" s="1">
        <f t="shared" si="41"/>
        <v>5.8884272444753722E-5</v>
      </c>
      <c r="BF58" s="1">
        <f t="shared" si="0"/>
        <v>6.53426796982571E-4</v>
      </c>
      <c r="BG58" s="1">
        <f t="shared" si="1"/>
        <v>1.5795186023549456E-6</v>
      </c>
      <c r="BH58" s="1">
        <f t="shared" si="2"/>
        <v>2.9340830441640604E-5</v>
      </c>
      <c r="BI58" s="1">
        <f t="shared" si="3"/>
        <v>3.9974178608315489E-5</v>
      </c>
      <c r="BJ58" s="1">
        <f t="shared" si="4"/>
        <v>2.376851613996091E-5</v>
      </c>
      <c r="BK58" s="1">
        <f t="shared" si="5"/>
        <v>2.3560388575471328E-5</v>
      </c>
      <c r="BL58" s="1">
        <f t="shared" si="6"/>
        <v>2.6689021439281328E-6</v>
      </c>
      <c r="BM58" s="1">
        <f>M58/M$92</f>
        <v>6.8581898479245974E-6</v>
      </c>
      <c r="BN58" s="1">
        <f t="shared" si="7"/>
        <v>6.280163740254677E-5</v>
      </c>
      <c r="BO58" s="1">
        <f t="shared" si="8"/>
        <v>8.7821667282472941E-5</v>
      </c>
      <c r="BP58" s="1">
        <f t="shared" si="9"/>
        <v>8.1938049253385916E-4</v>
      </c>
      <c r="BQ58" s="1">
        <f t="shared" si="10"/>
        <v>1.2666187039599156E-2</v>
      </c>
      <c r="BR58" s="1">
        <f t="shared" si="11"/>
        <v>1.5371390636202995E-4</v>
      </c>
      <c r="BS58" s="1">
        <f t="shared" si="12"/>
        <v>2.7783042219220942E-5</v>
      </c>
      <c r="BT58" s="1">
        <f t="shared" si="13"/>
        <v>6.058664600397521E-4</v>
      </c>
      <c r="BU58" s="1">
        <f t="shared" si="14"/>
        <v>1.0150385585266021E-4</v>
      </c>
      <c r="BV58" s="1">
        <f t="shared" si="15"/>
        <v>6.4471993056759579E-6</v>
      </c>
      <c r="BW58" s="1">
        <f t="shared" si="16"/>
        <v>1.8961583865944893E-4</v>
      </c>
      <c r="BX58" s="1">
        <f t="shared" si="17"/>
        <v>2.7468422301283211E-7</v>
      </c>
      <c r="BY58" s="1">
        <f t="shared" si="18"/>
        <v>7.6128386702114652E-8</v>
      </c>
      <c r="BZ58" s="1">
        <f t="shared" si="19"/>
        <v>3.1998276270907835E-6</v>
      </c>
      <c r="CA58" s="1">
        <f t="shared" si="20"/>
        <v>5.5803602885911908E-6</v>
      </c>
      <c r="CB58" s="1">
        <f t="shared" si="21"/>
        <v>2.3322136018563699E-8</v>
      </c>
      <c r="CC58" s="1">
        <f t="shared" si="22"/>
        <v>8.919908972487468E-7</v>
      </c>
      <c r="CD58" s="1">
        <f t="shared" si="23"/>
        <v>3.6277479525424852E-7</v>
      </c>
      <c r="CE58" s="1">
        <f t="shared" si="24"/>
        <v>7.7629745629576452E-6</v>
      </c>
      <c r="CF58" s="1">
        <f t="shared" si="25"/>
        <v>1.6756857524640587E-5</v>
      </c>
      <c r="CG58" s="1">
        <f t="shared" si="26"/>
        <v>1.8143310573225151E-4</v>
      </c>
      <c r="CH58" s="1">
        <f t="shared" si="27"/>
        <v>2.6472244317135832E-9</v>
      </c>
      <c r="CI58" s="1">
        <f t="shared" si="28"/>
        <v>1.512197486752236E-7</v>
      </c>
      <c r="CJ58" s="1">
        <f t="shared" si="29"/>
        <v>1.5273174666707357E-7</v>
      </c>
      <c r="CK58" s="1">
        <f t="shared" si="30"/>
        <v>3.1152520805275527E-6</v>
      </c>
      <c r="CL58" s="1">
        <f t="shared" si="31"/>
        <v>3.4575703954850555E-7</v>
      </c>
      <c r="CM58" s="1">
        <f t="shared" si="32"/>
        <v>8.295152289174675E-6</v>
      </c>
      <c r="CN58" s="1">
        <f t="shared" si="33"/>
        <v>4.6172850188484952E-6</v>
      </c>
      <c r="CO58" s="1">
        <f t="shared" si="34"/>
        <v>5.9125653058943012E-8</v>
      </c>
      <c r="CP58" s="1">
        <f t="shared" si="35"/>
        <v>2.4081639919109169E-8</v>
      </c>
      <c r="CQ58" s="1">
        <f t="shared" si="36"/>
        <v>3.3135319605724673E-3</v>
      </c>
      <c r="CR58" s="1">
        <f t="shared" si="37"/>
        <v>3.6946747979913162E-8</v>
      </c>
      <c r="CS58" s="25">
        <f t="shared" si="40"/>
        <v>1.7848089966826371E-6</v>
      </c>
    </row>
    <row r="59" spans="1:97" x14ac:dyDescent="0.25">
      <c r="A59" s="14"/>
      <c r="B59" s="11"/>
      <c r="C59" t="s">
        <v>14</v>
      </c>
      <c r="D59">
        <v>4.9090599999999998E-3</v>
      </c>
      <c r="E59">
        <v>3.8409400000000003E-2</v>
      </c>
      <c r="F59">
        <v>8.0761800000000005E-3</v>
      </c>
      <c r="G59">
        <v>3.5118100000000002E-3</v>
      </c>
      <c r="H59">
        <v>1.6947500000000001E-3</v>
      </c>
      <c r="I59">
        <v>1.7367000000000001E-3</v>
      </c>
      <c r="J59">
        <v>2.6397E-3</v>
      </c>
      <c r="K59">
        <v>1.012335E-2</v>
      </c>
      <c r="L59">
        <v>8.6572000000000005E-4</v>
      </c>
      <c r="M59">
        <v>6.7184200000000001E-3</v>
      </c>
      <c r="N59">
        <v>4.6412399999999996E-3</v>
      </c>
      <c r="O59">
        <v>6.8192699999999997E-3</v>
      </c>
      <c r="P59">
        <v>1.1474568599999999</v>
      </c>
      <c r="Q59">
        <v>0.98916612000000004</v>
      </c>
      <c r="R59">
        <v>171.07359575000001</v>
      </c>
      <c r="S59">
        <v>0.14766990999999999</v>
      </c>
      <c r="T59">
        <v>5.5495070000000001E-2</v>
      </c>
      <c r="U59">
        <v>7.6243400000000003E-3</v>
      </c>
      <c r="V59">
        <v>6.4241000000000005E-4</v>
      </c>
      <c r="W59">
        <v>0.78176807000000004</v>
      </c>
      <c r="X59">
        <v>1.67519E-3</v>
      </c>
      <c r="Y59">
        <v>4.3600000000000003E-4</v>
      </c>
      <c r="Z59">
        <v>1.7089000000000001E-4</v>
      </c>
      <c r="AA59">
        <v>4.076055E-2</v>
      </c>
      <c r="AB59">
        <v>3.97446E-3</v>
      </c>
      <c r="AC59">
        <v>2.5854269699999999</v>
      </c>
      <c r="AD59">
        <v>4.0001300000000002E-3</v>
      </c>
      <c r="AE59">
        <v>2.9662239999999999E-2</v>
      </c>
      <c r="AF59">
        <v>3.1414899999999998E-3</v>
      </c>
      <c r="AG59">
        <v>3.323E-4</v>
      </c>
      <c r="AH59">
        <v>4.1854500000000003E-3</v>
      </c>
      <c r="AI59">
        <v>3.8321499999999999E-3</v>
      </c>
      <c r="AJ59">
        <v>1.74558E-3</v>
      </c>
      <c r="AK59">
        <v>0.32190458999999999</v>
      </c>
      <c r="AL59">
        <v>8.9181399999999997E-3</v>
      </c>
      <c r="AM59">
        <v>4.2486040000000003E-2</v>
      </c>
      <c r="AN59">
        <v>1.523246E-2</v>
      </c>
      <c r="AO59">
        <v>5.8351310999999999</v>
      </c>
      <c r="AP59">
        <v>1.73638E-3</v>
      </c>
      <c r="AQ59">
        <v>7.1384999999999999E-3</v>
      </c>
      <c r="AR59">
        <v>1.0381500000000001E-3</v>
      </c>
      <c r="AS59">
        <v>2.4000540000000001E-2</v>
      </c>
      <c r="AT59" s="4">
        <v>200.52084626000001</v>
      </c>
      <c r="AU59">
        <v>7.0637052999999996</v>
      </c>
      <c r="AV59">
        <v>412.32882531000001</v>
      </c>
      <c r="AW59">
        <v>200.86613419</v>
      </c>
      <c r="AX59">
        <v>3.8781395600000002</v>
      </c>
      <c r="AY59" s="4">
        <v>0</v>
      </c>
      <c r="AZ59">
        <f t="shared" si="38"/>
        <v>595.55931873999998</v>
      </c>
      <c r="BB59" s="21"/>
      <c r="BC59" s="4" t="s">
        <v>14</v>
      </c>
      <c r="BD59" s="1">
        <f t="shared" si="42"/>
        <v>4.0806948922987657E-6</v>
      </c>
      <c r="BE59" s="1">
        <f t="shared" si="41"/>
        <v>5.2303396108926017E-6</v>
      </c>
      <c r="BF59" s="1">
        <f t="shared" si="0"/>
        <v>9.5189953568309803E-6</v>
      </c>
      <c r="BG59" s="1">
        <f t="shared" si="1"/>
        <v>3.0614271412371177E-7</v>
      </c>
      <c r="BH59" s="1">
        <f t="shared" si="2"/>
        <v>5.5332127023330139E-7</v>
      </c>
      <c r="BI59" s="1">
        <f t="shared" si="3"/>
        <v>5.1744382437450255E-7</v>
      </c>
      <c r="BJ59" s="1">
        <f t="shared" si="4"/>
        <v>9.0565294187029304E-7</v>
      </c>
      <c r="BK59" s="1">
        <f t="shared" si="5"/>
        <v>2.2308400174072785E-6</v>
      </c>
      <c r="BL59" s="1">
        <f t="shared" si="6"/>
        <v>1.5339697298907565E-7</v>
      </c>
      <c r="BM59" s="1">
        <f>M59/M$92</f>
        <v>3.7530488778080299E-7</v>
      </c>
      <c r="BN59" s="1">
        <f t="shared" si="7"/>
        <v>3.0507016248434029E-7</v>
      </c>
      <c r="BO59" s="1">
        <f t="shared" si="8"/>
        <v>1.0232806755319645E-6</v>
      </c>
      <c r="BP59" s="1">
        <f t="shared" si="9"/>
        <v>1.6850506994509632E-4</v>
      </c>
      <c r="BQ59" s="1">
        <f t="shared" si="10"/>
        <v>1.9531479334744761E-4</v>
      </c>
      <c r="BR59" s="1">
        <f t="shared" si="11"/>
        <v>1.3888459244284506E-2</v>
      </c>
      <c r="BS59" s="1">
        <f t="shared" si="12"/>
        <v>1.2980377515443867E-5</v>
      </c>
      <c r="BT59" s="1">
        <f t="shared" si="13"/>
        <v>3.6293865771949953E-6</v>
      </c>
      <c r="BU59" s="1">
        <f t="shared" si="14"/>
        <v>5.6983687769974624E-6</v>
      </c>
      <c r="BV59" s="1">
        <f t="shared" si="15"/>
        <v>3.5937956841944765E-7</v>
      </c>
      <c r="BW59" s="1">
        <f t="shared" si="16"/>
        <v>1.5819296979840767E-3</v>
      </c>
      <c r="BX59" s="1">
        <f t="shared" si="17"/>
        <v>1.6722509005399131E-7</v>
      </c>
      <c r="BY59" s="1">
        <f t="shared" si="18"/>
        <v>2.0625101971119115E-7</v>
      </c>
      <c r="BZ59" s="1">
        <f t="shared" si="19"/>
        <v>2.8737271165614407E-7</v>
      </c>
      <c r="CA59" s="1">
        <f t="shared" si="20"/>
        <v>1.3203449320666759E-6</v>
      </c>
      <c r="CB59" s="1">
        <f t="shared" si="21"/>
        <v>2.1567020340245396E-7</v>
      </c>
      <c r="CC59" s="1">
        <f t="shared" si="22"/>
        <v>1.6276711924643127E-4</v>
      </c>
      <c r="CD59" s="1">
        <f t="shared" si="23"/>
        <v>6.1626344271807078E-7</v>
      </c>
      <c r="CE59" s="1">
        <f t="shared" si="24"/>
        <v>1.856430598754239E-6</v>
      </c>
      <c r="CF59" s="1">
        <f t="shared" si="25"/>
        <v>8.4776894228190141E-7</v>
      </c>
      <c r="CG59" s="1">
        <f t="shared" si="26"/>
        <v>2.0181846518984733E-7</v>
      </c>
      <c r="CH59" s="1">
        <f t="shared" si="27"/>
        <v>2.497143452268564E-7</v>
      </c>
      <c r="CI59" s="1">
        <f t="shared" si="28"/>
        <v>3.0144128748439886E-7</v>
      </c>
      <c r="CJ59" s="1">
        <f t="shared" si="29"/>
        <v>1.4150433227204274E-7</v>
      </c>
      <c r="CK59" s="1">
        <f t="shared" si="30"/>
        <v>2.1856888708808715E-5</v>
      </c>
      <c r="CL59" s="1">
        <f t="shared" si="31"/>
        <v>2.9170069291625132E-6</v>
      </c>
      <c r="CM59" s="1">
        <f t="shared" si="32"/>
        <v>6.2530880930771005E-6</v>
      </c>
      <c r="CN59" s="1">
        <f t="shared" si="33"/>
        <v>1.0123470576123854E-5</v>
      </c>
      <c r="CO59" s="1">
        <f t="shared" si="34"/>
        <v>1.1847731352062105E-3</v>
      </c>
      <c r="CP59" s="1">
        <f t="shared" si="35"/>
        <v>2.7355016304293326E-7</v>
      </c>
      <c r="CQ59" s="1">
        <f t="shared" si="36"/>
        <v>1.133577536356285E-6</v>
      </c>
      <c r="CR59" s="1">
        <f t="shared" si="37"/>
        <v>4.5050817964936398E-7</v>
      </c>
      <c r="CS59" s="25">
        <f t="shared" si="40"/>
        <v>2.3981527354487173E-6</v>
      </c>
    </row>
    <row r="60" spans="1:97" x14ac:dyDescent="0.25">
      <c r="A60" s="14"/>
      <c r="B60" s="11"/>
      <c r="C60" t="s">
        <v>15</v>
      </c>
      <c r="D60">
        <v>0.2157076</v>
      </c>
      <c r="E60">
        <v>0.24673920999999999</v>
      </c>
      <c r="F60">
        <v>5.0474850000000002E-2</v>
      </c>
      <c r="G60">
        <v>8.5137400000000005E-3</v>
      </c>
      <c r="H60">
        <v>5.7650510000000002E-2</v>
      </c>
      <c r="I60">
        <v>1.086048E-2</v>
      </c>
      <c r="J60">
        <v>4.9196219999999999E-2</v>
      </c>
      <c r="K60">
        <v>0.67578152999999996</v>
      </c>
      <c r="L60">
        <v>2.7183539999999999E-2</v>
      </c>
      <c r="M60">
        <v>0.18509154999999999</v>
      </c>
      <c r="N60">
        <v>3.4821280000000003E-2</v>
      </c>
      <c r="O60">
        <v>0.63541236999999995</v>
      </c>
      <c r="P60">
        <v>21.057058179999999</v>
      </c>
      <c r="Q60">
        <v>20.396426819999999</v>
      </c>
      <c r="R60">
        <v>80.05116975</v>
      </c>
      <c r="S60">
        <v>125.99033805000001</v>
      </c>
      <c r="T60">
        <v>60.793075780000002</v>
      </c>
      <c r="U60">
        <v>17.178409769999998</v>
      </c>
      <c r="V60">
        <v>1.5337916300000001</v>
      </c>
      <c r="W60">
        <v>0.37933257999999997</v>
      </c>
      <c r="X60">
        <v>4.8890505299999996</v>
      </c>
      <c r="Y60">
        <v>2.0115100000000002E-3</v>
      </c>
      <c r="Z60">
        <v>3.0910389999999999E-2</v>
      </c>
      <c r="AA60">
        <v>7.6331824499999996</v>
      </c>
      <c r="AB60">
        <v>0.17699509999999999</v>
      </c>
      <c r="AC60">
        <v>6.9029800000000002E-2</v>
      </c>
      <c r="AD60">
        <v>5.60846E-3</v>
      </c>
      <c r="AE60">
        <v>2.3310800000000001E-3</v>
      </c>
      <c r="AF60">
        <v>4.2452940000000002E-2</v>
      </c>
      <c r="AG60">
        <v>0.1201039</v>
      </c>
      <c r="AH60">
        <v>0.25197831999999998</v>
      </c>
      <c r="AI60">
        <v>1.6384800000000001E-3</v>
      </c>
      <c r="AJ60">
        <v>0.28401151000000002</v>
      </c>
      <c r="AK60">
        <v>2.2963359999999999E-2</v>
      </c>
      <c r="AL60">
        <v>1.7227070000000001E-2</v>
      </c>
      <c r="AM60">
        <v>0.13482838</v>
      </c>
      <c r="AN60">
        <v>1.3053199999999999E-2</v>
      </c>
      <c r="AO60">
        <v>5.90973814</v>
      </c>
      <c r="AP60">
        <v>6.7369999999999995E-4</v>
      </c>
      <c r="AQ60">
        <v>1.2835579999999999E-2</v>
      </c>
      <c r="AR60">
        <v>2.5929099999999999E-3</v>
      </c>
      <c r="AS60">
        <v>1.430851E-2</v>
      </c>
      <c r="AT60" s="4">
        <v>50.047009019999997</v>
      </c>
      <c r="AU60">
        <v>12.65229789</v>
      </c>
      <c r="AV60">
        <v>129.03135531000001</v>
      </c>
      <c r="AW60">
        <v>53.66458987</v>
      </c>
      <c r="AX60">
        <v>12.66745852</v>
      </c>
      <c r="AY60" s="4">
        <v>0</v>
      </c>
      <c r="AZ60">
        <f t="shared" si="38"/>
        <v>478.24591606999979</v>
      </c>
      <c r="BB60" s="21"/>
      <c r="BC60" s="4" t="s">
        <v>15</v>
      </c>
      <c r="BD60" s="1">
        <f t="shared" si="42"/>
        <v>1.7930864596277604E-4</v>
      </c>
      <c r="BE60" s="1">
        <f t="shared" si="41"/>
        <v>3.3599323697411257E-5</v>
      </c>
      <c r="BF60" s="1">
        <f t="shared" si="0"/>
        <v>5.9492218200527998E-5</v>
      </c>
      <c r="BG60" s="1">
        <f t="shared" si="1"/>
        <v>7.4218692666847297E-7</v>
      </c>
      <c r="BH60" s="1">
        <f t="shared" si="2"/>
        <v>1.8822394702934145E-5</v>
      </c>
      <c r="BI60" s="1">
        <f t="shared" si="3"/>
        <v>3.2358428662076339E-6</v>
      </c>
      <c r="BJ60" s="1">
        <f t="shared" si="4"/>
        <v>1.6878698856649674E-5</v>
      </c>
      <c r="BK60" s="1">
        <f t="shared" si="5"/>
        <v>1.4891913053966498E-4</v>
      </c>
      <c r="BL60" s="1">
        <f t="shared" si="6"/>
        <v>4.8166529029333469E-6</v>
      </c>
      <c r="BM60" s="1">
        <f>M60/M$92</f>
        <v>1.0339598209389244E-5</v>
      </c>
      <c r="BN60" s="1">
        <f t="shared" si="7"/>
        <v>2.2888136677941045E-6</v>
      </c>
      <c r="BO60" s="1">
        <f t="shared" si="8"/>
        <v>9.5348211643616785E-5</v>
      </c>
      <c r="BP60" s="1">
        <f t="shared" si="9"/>
        <v>3.0922478963251506E-3</v>
      </c>
      <c r="BQ60" s="1">
        <f t="shared" si="10"/>
        <v>4.0273557785972672E-3</v>
      </c>
      <c r="BR60" s="1">
        <f t="shared" si="11"/>
        <v>6.4988837327935554E-3</v>
      </c>
      <c r="BS60" s="1">
        <f t="shared" si="12"/>
        <v>1.1074714890713972E-2</v>
      </c>
      <c r="BT60" s="1">
        <f t="shared" si="13"/>
        <v>3.9758770143425385E-3</v>
      </c>
      <c r="BU60" s="1">
        <f t="shared" si="14"/>
        <v>1.2839001654154476E-2</v>
      </c>
      <c r="BV60" s="1">
        <f t="shared" si="15"/>
        <v>8.5803984065435017E-4</v>
      </c>
      <c r="BW60" s="1">
        <f t="shared" si="16"/>
        <v>7.6759015460291257E-4</v>
      </c>
      <c r="BX60" s="1">
        <f t="shared" si="17"/>
        <v>4.8804727532862776E-4</v>
      </c>
      <c r="BY60" s="1">
        <f t="shared" si="18"/>
        <v>9.5155043270472051E-7</v>
      </c>
      <c r="BZ60" s="1">
        <f t="shared" si="19"/>
        <v>5.1979651194622027E-5</v>
      </c>
      <c r="CA60" s="1">
        <f t="shared" si="20"/>
        <v>2.4725951350994512E-4</v>
      </c>
      <c r="CB60" s="1">
        <f t="shared" si="21"/>
        <v>9.6044668252385672E-6</v>
      </c>
      <c r="CC60" s="1">
        <f t="shared" si="22"/>
        <v>4.3458128264815396E-6</v>
      </c>
      <c r="CD60" s="1">
        <f t="shared" si="23"/>
        <v>8.6404413555224231E-7</v>
      </c>
      <c r="CE60" s="1">
        <f t="shared" si="24"/>
        <v>1.4589215919445165E-7</v>
      </c>
      <c r="CF60" s="1">
        <f t="shared" si="25"/>
        <v>1.145643756324452E-5</v>
      </c>
      <c r="CG60" s="1">
        <f t="shared" si="26"/>
        <v>7.2943679690986771E-5</v>
      </c>
      <c r="CH60" s="1">
        <f t="shared" si="27"/>
        <v>1.5033652579809408E-5</v>
      </c>
      <c r="CI60" s="1">
        <f t="shared" si="28"/>
        <v>1.2888470459596779E-7</v>
      </c>
      <c r="CJ60" s="1">
        <f t="shared" si="29"/>
        <v>2.3023212387931E-5</v>
      </c>
      <c r="CK60" s="1">
        <f t="shared" si="30"/>
        <v>1.559181258957226E-6</v>
      </c>
      <c r="CL60" s="1">
        <f t="shared" si="31"/>
        <v>5.6347492368551805E-6</v>
      </c>
      <c r="CM60" s="1">
        <f t="shared" si="32"/>
        <v>1.9844017884153822E-5</v>
      </c>
      <c r="CN60" s="1">
        <f t="shared" si="33"/>
        <v>8.6751375762194604E-6</v>
      </c>
      <c r="CO60" s="1">
        <f t="shared" si="34"/>
        <v>1.1999214523861373E-3</v>
      </c>
      <c r="CP60" s="1">
        <f t="shared" si="35"/>
        <v>1.0613503083543011E-7</v>
      </c>
      <c r="CQ60" s="1">
        <f t="shared" si="36"/>
        <v>2.0382608606995873E-6</v>
      </c>
      <c r="CR60" s="1">
        <f t="shared" si="37"/>
        <v>1.1252007552806747E-6</v>
      </c>
      <c r="CS60" s="25">
        <f t="shared" si="40"/>
        <v>1.429717514551561E-6</v>
      </c>
    </row>
    <row r="61" spans="1:97" x14ac:dyDescent="0.25">
      <c r="A61" s="14"/>
      <c r="B61" s="11"/>
      <c r="C61" t="s">
        <v>16</v>
      </c>
      <c r="D61">
        <v>4.5990490000000002E-2</v>
      </c>
      <c r="E61">
        <v>0.99775853000000003</v>
      </c>
      <c r="F61">
        <v>9.1865710000000003E-2</v>
      </c>
      <c r="G61">
        <v>0.54671362999999995</v>
      </c>
      <c r="H61">
        <v>0.14666394999999999</v>
      </c>
      <c r="I61">
        <v>1.0367123199999999</v>
      </c>
      <c r="J61">
        <v>0.56545182999999999</v>
      </c>
      <c r="K61">
        <v>3.92197548</v>
      </c>
      <c r="L61">
        <v>2.2765770000000001E-2</v>
      </c>
      <c r="M61">
        <v>2.9447373400000001</v>
      </c>
      <c r="N61">
        <v>0.39925328999999998</v>
      </c>
      <c r="O61">
        <v>2.0302175400000002</v>
      </c>
      <c r="P61">
        <v>33.284729689999999</v>
      </c>
      <c r="Q61">
        <v>34.253397450000001</v>
      </c>
      <c r="R61">
        <v>110.72550278</v>
      </c>
      <c r="S61">
        <v>151.11333981000001</v>
      </c>
      <c r="T61">
        <v>2748.4073400100001</v>
      </c>
      <c r="U61">
        <v>48.803345299999997</v>
      </c>
      <c r="V61">
        <v>1.5767678599999999</v>
      </c>
      <c r="W61">
        <v>0.29945434999999998</v>
      </c>
      <c r="X61">
        <v>0.39304438000000003</v>
      </c>
      <c r="Y61">
        <v>3.0082419999999999E-2</v>
      </c>
      <c r="Z61">
        <v>3.2587140000000001E-2</v>
      </c>
      <c r="AA61">
        <v>26.532127469999999</v>
      </c>
      <c r="AB61">
        <v>25.39727495</v>
      </c>
      <c r="AC61">
        <v>9.4745696699999993</v>
      </c>
      <c r="AD61">
        <v>1.4313327</v>
      </c>
      <c r="AE61">
        <v>1.2543739999999999E-2</v>
      </c>
      <c r="AF61">
        <v>0.38951996</v>
      </c>
      <c r="AG61">
        <v>8.5144890000000001E-2</v>
      </c>
      <c r="AH61">
        <v>213.26962710000001</v>
      </c>
      <c r="AI61">
        <v>7.4502292499999996</v>
      </c>
      <c r="AJ61">
        <v>0.34316208999999998</v>
      </c>
      <c r="AK61">
        <v>258.26308714999999</v>
      </c>
      <c r="AL61">
        <v>2.5157028800000001</v>
      </c>
      <c r="AM61">
        <v>108.62577372</v>
      </c>
      <c r="AN61">
        <v>1.29037877</v>
      </c>
      <c r="AO61">
        <v>12.292390129999999</v>
      </c>
      <c r="AP61">
        <v>13.229512039999999</v>
      </c>
      <c r="AQ61">
        <v>6.9084583999999998</v>
      </c>
      <c r="AR61">
        <v>4.6367617000000001</v>
      </c>
      <c r="AS61">
        <v>7.1366873100000001</v>
      </c>
      <c r="AT61" s="4">
        <v>462.13380379</v>
      </c>
      <c r="AU61">
        <v>67.266704410000003</v>
      </c>
      <c r="AV61">
        <v>1217.26955241</v>
      </c>
      <c r="AW61">
        <v>293.55883071</v>
      </c>
      <c r="AX61">
        <v>394.31021349999997</v>
      </c>
      <c r="AY61" s="4">
        <v>0</v>
      </c>
      <c r="AZ61">
        <f t="shared" si="38"/>
        <v>5058.2235333999997</v>
      </c>
      <c r="BB61" s="21"/>
      <c r="BC61" s="4" t="s">
        <v>16</v>
      </c>
      <c r="BD61" s="1">
        <f t="shared" si="42"/>
        <v>3.8229958003633585E-5</v>
      </c>
      <c r="BE61" s="1">
        <f t="shared" si="41"/>
        <v>1.3586819792980298E-4</v>
      </c>
      <c r="BF61" s="1">
        <f t="shared" si="0"/>
        <v>1.0827758506397597E-4</v>
      </c>
      <c r="BG61" s="1">
        <f t="shared" si="1"/>
        <v>4.7659866147834511E-5</v>
      </c>
      <c r="BH61" s="1">
        <f t="shared" si="2"/>
        <v>4.7884515776033866E-5</v>
      </c>
      <c r="BI61" s="1">
        <f t="shared" si="3"/>
        <v>3.0888488952436404E-4</v>
      </c>
      <c r="BJ61" s="1">
        <f t="shared" si="4"/>
        <v>1.940004975282952E-4</v>
      </c>
      <c r="BK61" s="1">
        <f t="shared" si="5"/>
        <v>8.6426922393023262E-4</v>
      </c>
      <c r="BL61" s="1">
        <f t="shared" si="6"/>
        <v>4.0338680009304492E-6</v>
      </c>
      <c r="BM61" s="1">
        <f>M61/M$92</f>
        <v>1.6449914071055998E-4</v>
      </c>
      <c r="BN61" s="1">
        <f t="shared" si="7"/>
        <v>2.624304411163987E-5</v>
      </c>
      <c r="BO61" s="1">
        <f t="shared" si="8"/>
        <v>3.0464879317112299E-4</v>
      </c>
      <c r="BP61" s="1">
        <f t="shared" si="9"/>
        <v>4.8878924341583304E-3</v>
      </c>
      <c r="BQ61" s="1">
        <f t="shared" si="10"/>
        <v>6.7634698652990054E-3</v>
      </c>
      <c r="BR61" s="1">
        <f t="shared" si="11"/>
        <v>8.9891524517332812E-3</v>
      </c>
      <c r="BS61" s="1">
        <f t="shared" si="12"/>
        <v>1.3283059482824584E-2</v>
      </c>
      <c r="BT61" s="1">
        <f t="shared" si="13"/>
        <v>0.17974628572405613</v>
      </c>
      <c r="BU61" s="1">
        <f t="shared" si="14"/>
        <v>3.6475217405119109E-2</v>
      </c>
      <c r="BV61" s="1">
        <f t="shared" si="15"/>
        <v>8.8208177491704042E-4</v>
      </c>
      <c r="BW61" s="1">
        <f t="shared" si="16"/>
        <v>6.0595430746553515E-4</v>
      </c>
      <c r="BX61" s="1">
        <f t="shared" si="17"/>
        <v>3.923547886551089E-5</v>
      </c>
      <c r="BY61" s="1">
        <f t="shared" si="18"/>
        <v>1.4230572936652134E-5</v>
      </c>
      <c r="BZ61" s="1">
        <f t="shared" si="19"/>
        <v>5.4799314102161613E-5</v>
      </c>
      <c r="CA61" s="1">
        <f t="shared" si="20"/>
        <v>8.5944767776591669E-4</v>
      </c>
      <c r="CB61" s="1">
        <f t="shared" si="21"/>
        <v>1.3781584049995593E-3</v>
      </c>
      <c r="CC61" s="1">
        <f t="shared" si="22"/>
        <v>5.9647726630062607E-4</v>
      </c>
      <c r="CD61" s="1">
        <f t="shared" si="23"/>
        <v>2.2051233769326286E-4</v>
      </c>
      <c r="CE61" s="1">
        <f t="shared" si="24"/>
        <v>7.8505813312876899E-7</v>
      </c>
      <c r="CF61" s="1">
        <f t="shared" si="25"/>
        <v>1.051166562640303E-4</v>
      </c>
      <c r="CG61" s="1">
        <f t="shared" si="26"/>
        <v>5.1711739447963825E-5</v>
      </c>
      <c r="CH61" s="1">
        <f t="shared" si="27"/>
        <v>1.2724195794490993E-2</v>
      </c>
      <c r="CI61" s="1">
        <f t="shared" si="28"/>
        <v>5.8604352574244943E-4</v>
      </c>
      <c r="CJ61" s="1">
        <f t="shared" si="29"/>
        <v>2.7818216527760762E-5</v>
      </c>
      <c r="CK61" s="1">
        <f t="shared" si="30"/>
        <v>1.7535716261240376E-2</v>
      </c>
      <c r="CL61" s="1">
        <f t="shared" si="31"/>
        <v>8.2285350226326236E-4</v>
      </c>
      <c r="CM61" s="1">
        <f t="shared" si="32"/>
        <v>1.5987522778065911E-2</v>
      </c>
      <c r="CN61" s="1">
        <f t="shared" si="33"/>
        <v>8.5758383807670534E-4</v>
      </c>
      <c r="CO61" s="1">
        <f t="shared" si="34"/>
        <v>2.4958639906990225E-3</v>
      </c>
      <c r="CP61" s="1">
        <f t="shared" si="35"/>
        <v>2.0841838627031228E-3</v>
      </c>
      <c r="CQ61" s="1">
        <f t="shared" si="36"/>
        <v>1.0970474543800354E-3</v>
      </c>
      <c r="CR61" s="1">
        <f t="shared" si="37"/>
        <v>2.0121360814283969E-3</v>
      </c>
      <c r="CS61" s="25">
        <f t="shared" si="40"/>
        <v>7.1310337994556154E-4</v>
      </c>
    </row>
    <row r="62" spans="1:97" x14ac:dyDescent="0.25">
      <c r="A62" s="14"/>
      <c r="B62" s="11"/>
      <c r="C62" t="s">
        <v>17</v>
      </c>
      <c r="D62">
        <v>1.7005329999999999E-2</v>
      </c>
      <c r="E62">
        <v>0.38477858999999998</v>
      </c>
      <c r="F62">
        <v>0.35302403999999998</v>
      </c>
      <c r="G62">
        <v>3.7155210000000001E-2</v>
      </c>
      <c r="H62">
        <v>0.25690741</v>
      </c>
      <c r="I62">
        <v>1.061777E-2</v>
      </c>
      <c r="J62">
        <v>6.9991159999999997E-2</v>
      </c>
      <c r="K62">
        <v>0.52163453000000004</v>
      </c>
      <c r="L62">
        <v>2.38083E-3</v>
      </c>
      <c r="M62">
        <v>0.15599557999999999</v>
      </c>
      <c r="N62">
        <v>0.1512191</v>
      </c>
      <c r="O62">
        <v>0.51318934999999999</v>
      </c>
      <c r="P62">
        <v>9.5576672699999996</v>
      </c>
      <c r="Q62">
        <v>14.19072656</v>
      </c>
      <c r="R62">
        <v>26.851542479999999</v>
      </c>
      <c r="S62">
        <v>3.45204946</v>
      </c>
      <c r="T62">
        <v>26.513653420000001</v>
      </c>
      <c r="U62">
        <v>53.133984439999999</v>
      </c>
      <c r="V62">
        <v>0.21554893999999999</v>
      </c>
      <c r="W62">
        <v>1.3946562899999999</v>
      </c>
      <c r="X62">
        <v>0.95504254</v>
      </c>
      <c r="Y62">
        <v>1.8762500000000001E-3</v>
      </c>
      <c r="Z62">
        <v>7.0625899999999997E-3</v>
      </c>
      <c r="AA62">
        <v>1.62525224</v>
      </c>
      <c r="AB62">
        <v>2.0183550000000001E-2</v>
      </c>
      <c r="AC62">
        <v>0.1530601</v>
      </c>
      <c r="AD62">
        <v>6.5609000000000002E-4</v>
      </c>
      <c r="AE62">
        <v>2.8594749999999999E-2</v>
      </c>
      <c r="AF62">
        <v>5.3964659999999998E-2</v>
      </c>
      <c r="AG62">
        <v>0.13578821999999999</v>
      </c>
      <c r="AH62">
        <v>1.0311220699999999</v>
      </c>
      <c r="AI62">
        <v>2.831E-4</v>
      </c>
      <c r="AJ62">
        <v>1.5871399999999999E-3</v>
      </c>
      <c r="AK62">
        <v>0.16750602000000001</v>
      </c>
      <c r="AL62">
        <v>0.73928846999999998</v>
      </c>
      <c r="AM62">
        <v>33.276575639999997</v>
      </c>
      <c r="AN62">
        <v>1.2246439899999999</v>
      </c>
      <c r="AO62">
        <v>1.8666073599999999</v>
      </c>
      <c r="AP62">
        <v>7.43793624</v>
      </c>
      <c r="AQ62">
        <v>2.5463666300000001</v>
      </c>
      <c r="AR62">
        <v>0.35428525999999999</v>
      </c>
      <c r="AS62">
        <v>0.67005912000000001</v>
      </c>
      <c r="AT62" s="4">
        <v>198.60937032999999</v>
      </c>
      <c r="AU62">
        <v>3.09165745</v>
      </c>
      <c r="AV62">
        <v>244.89429913999999</v>
      </c>
      <c r="AW62">
        <v>38.79755385</v>
      </c>
      <c r="AX62">
        <v>4.3957175099999999</v>
      </c>
      <c r="AY62" s="4">
        <v>0</v>
      </c>
      <c r="AZ62">
        <f t="shared" si="38"/>
        <v>434.97576892999996</v>
      </c>
      <c r="BB62" s="21"/>
      <c r="BC62" s="4" t="s">
        <v>17</v>
      </c>
      <c r="BD62" s="1">
        <f t="shared" si="42"/>
        <v>1.4135814855156582E-5</v>
      </c>
      <c r="BE62" s="1">
        <f t="shared" si="41"/>
        <v>5.2396619075028604E-5</v>
      </c>
      <c r="BF62" s="1">
        <f t="shared" si="0"/>
        <v>4.1609203826681849E-4</v>
      </c>
      <c r="BG62" s="1">
        <f t="shared" si="1"/>
        <v>3.2390125984140589E-6</v>
      </c>
      <c r="BH62" s="1">
        <f t="shared" si="2"/>
        <v>8.3878055426197119E-5</v>
      </c>
      <c r="BI62" s="1">
        <f t="shared" si="3"/>
        <v>3.1635282519311695E-6</v>
      </c>
      <c r="BJ62" s="1">
        <f t="shared" si="4"/>
        <v>2.4013221183814213E-5</v>
      </c>
      <c r="BK62" s="1">
        <f t="shared" si="5"/>
        <v>1.1495040515100612E-4</v>
      </c>
      <c r="BL62" s="1">
        <f t="shared" si="6"/>
        <v>4.2185939472529331E-7</v>
      </c>
      <c r="BM62" s="1">
        <f>M62/M$92</f>
        <v>8.7142369256761673E-6</v>
      </c>
      <c r="BN62" s="1">
        <f t="shared" si="7"/>
        <v>9.9396789236789517E-6</v>
      </c>
      <c r="BO62" s="1">
        <f t="shared" si="8"/>
        <v>7.7007765456391932E-5</v>
      </c>
      <c r="BP62" s="1">
        <f t="shared" si="9"/>
        <v>1.4035520183680874E-3</v>
      </c>
      <c r="BQ62" s="1">
        <f t="shared" si="10"/>
        <v>2.8020155254776984E-3</v>
      </c>
      <c r="BR62" s="1">
        <f t="shared" si="11"/>
        <v>2.1799188340241226E-3</v>
      </c>
      <c r="BS62" s="1">
        <f t="shared" si="12"/>
        <v>3.0343964584785178E-4</v>
      </c>
      <c r="BT62" s="1">
        <f t="shared" si="13"/>
        <v>1.7339972331767161E-3</v>
      </c>
      <c r="BU62" s="1">
        <f t="shared" si="14"/>
        <v>3.9711901348885928E-2</v>
      </c>
      <c r="BV62" s="1">
        <f t="shared" si="15"/>
        <v>1.2058324906285613E-4</v>
      </c>
      <c r="BW62" s="1">
        <f t="shared" si="16"/>
        <v>2.822126265186672E-3</v>
      </c>
      <c r="BX62" s="1">
        <f t="shared" si="17"/>
        <v>9.5336693006102356E-5</v>
      </c>
      <c r="BY62" s="1">
        <f t="shared" si="18"/>
        <v>8.8756531131450093E-7</v>
      </c>
      <c r="BZ62" s="1">
        <f t="shared" si="19"/>
        <v>1.1876620279803186E-5</v>
      </c>
      <c r="CA62" s="1">
        <f t="shared" si="20"/>
        <v>5.2646334713687943E-5</v>
      </c>
      <c r="CB62" s="1">
        <f t="shared" si="21"/>
        <v>1.0952406953104573E-6</v>
      </c>
      <c r="CC62" s="1">
        <f t="shared" si="22"/>
        <v>9.6359912067331369E-6</v>
      </c>
      <c r="CD62" s="1">
        <f t="shared" si="23"/>
        <v>1.0107778550519585E-7</v>
      </c>
      <c r="CE62" s="1">
        <f t="shared" si="24"/>
        <v>1.789621042231732E-6</v>
      </c>
      <c r="CF62" s="1">
        <f t="shared" si="25"/>
        <v>1.4563013961146601E-5</v>
      </c>
      <c r="CG62" s="1">
        <f t="shared" si="26"/>
        <v>8.2469365486793038E-5</v>
      </c>
      <c r="CH62" s="1">
        <f t="shared" si="27"/>
        <v>6.1519304389972583E-5</v>
      </c>
      <c r="CI62" s="1">
        <f t="shared" si="28"/>
        <v>2.2268968721692346E-8</v>
      </c>
      <c r="CJ62" s="1">
        <f t="shared" si="29"/>
        <v>1.2866049446158291E-7</v>
      </c>
      <c r="CK62" s="1">
        <f t="shared" si="30"/>
        <v>1.1373433467337285E-5</v>
      </c>
      <c r="CL62" s="1">
        <f t="shared" si="31"/>
        <v>2.4181158735341144E-4</v>
      </c>
      <c r="CM62" s="1">
        <f t="shared" si="32"/>
        <v>4.8976407053437669E-3</v>
      </c>
      <c r="CN62" s="1">
        <f t="shared" si="33"/>
        <v>8.1389659969511913E-4</v>
      </c>
      <c r="CO62" s="1">
        <f t="shared" si="34"/>
        <v>3.7899855482359046E-4</v>
      </c>
      <c r="CP62" s="1">
        <f t="shared" si="35"/>
        <v>1.1717761498951508E-3</v>
      </c>
      <c r="CQ62" s="1">
        <f t="shared" si="36"/>
        <v>4.0435721945720479E-4</v>
      </c>
      <c r="CR62" s="1">
        <f t="shared" si="37"/>
        <v>1.537431079894058E-4</v>
      </c>
      <c r="CS62" s="25">
        <f t="shared" si="40"/>
        <v>6.6952831542138646E-5</v>
      </c>
    </row>
    <row r="63" spans="1:97" x14ac:dyDescent="0.25">
      <c r="A63" s="14"/>
      <c r="B63" s="11"/>
      <c r="C63" t="s">
        <v>18</v>
      </c>
      <c r="D63">
        <v>3.5048669999999997E-2</v>
      </c>
      <c r="E63">
        <v>0.48724255999999999</v>
      </c>
      <c r="F63">
        <v>2.2420949999999999E-2</v>
      </c>
      <c r="G63">
        <v>0.17784409000000001</v>
      </c>
      <c r="H63">
        <v>0.46831462000000001</v>
      </c>
      <c r="I63">
        <v>1.38565706</v>
      </c>
      <c r="J63">
        <v>0.14529842000000001</v>
      </c>
      <c r="K63">
        <v>1.0802457000000001</v>
      </c>
      <c r="L63">
        <v>7.4537439999999996E-2</v>
      </c>
      <c r="M63">
        <v>0.66522294000000004</v>
      </c>
      <c r="N63">
        <v>109.86268751</v>
      </c>
      <c r="O63">
        <v>0.72921111000000005</v>
      </c>
      <c r="P63">
        <v>0.44319538000000003</v>
      </c>
      <c r="Q63">
        <v>0.42219517000000001</v>
      </c>
      <c r="R63">
        <v>0.42190032999999999</v>
      </c>
      <c r="S63">
        <v>1.1796110099999999</v>
      </c>
      <c r="T63">
        <v>0.84754523000000004</v>
      </c>
      <c r="U63">
        <v>0.59191780000000005</v>
      </c>
      <c r="V63">
        <v>25.568801220000001</v>
      </c>
      <c r="W63">
        <v>3.4843190000000003E-2</v>
      </c>
      <c r="X63">
        <v>4.0250809999999998E-2</v>
      </c>
      <c r="Y63">
        <v>1.0815499999999999E-3</v>
      </c>
      <c r="Z63">
        <v>7.5902999999999995E-4</v>
      </c>
      <c r="AA63">
        <v>1.0348107600000001</v>
      </c>
      <c r="AB63">
        <v>5.5485100000000004E-3</v>
      </c>
      <c r="AC63">
        <v>8.0675520000000001E-2</v>
      </c>
      <c r="AD63">
        <v>9.7109390000000004E-2</v>
      </c>
      <c r="AE63">
        <v>2.7439379999999999E-2</v>
      </c>
      <c r="AF63">
        <v>9.2405070000000006E-2</v>
      </c>
      <c r="AG63">
        <v>3.391922E-2</v>
      </c>
      <c r="AH63">
        <v>4.5561860000000003E-2</v>
      </c>
      <c r="AI63">
        <v>4.3921300000000002E-3</v>
      </c>
      <c r="AJ63">
        <v>4.5010127400000002</v>
      </c>
      <c r="AK63">
        <v>0.95049905000000001</v>
      </c>
      <c r="AL63">
        <v>5.4505500000000002E-3</v>
      </c>
      <c r="AM63">
        <v>2.1322894099999998</v>
      </c>
      <c r="AN63">
        <v>0.27282497999999999</v>
      </c>
      <c r="AO63">
        <v>2.5614957299999999</v>
      </c>
      <c r="AP63">
        <v>1.201265E-2</v>
      </c>
      <c r="AQ63">
        <v>7.9585649999999994E-2</v>
      </c>
      <c r="AR63">
        <v>0.17362089</v>
      </c>
      <c r="AS63">
        <v>0.66755211000000003</v>
      </c>
      <c r="AT63" s="4">
        <v>0</v>
      </c>
      <c r="AU63">
        <v>0.18168050999999999</v>
      </c>
      <c r="AV63">
        <v>29.453234210000002</v>
      </c>
      <c r="AW63">
        <v>27.710327800000002</v>
      </c>
      <c r="AX63">
        <v>1.5612258999999999</v>
      </c>
      <c r="AY63" s="4">
        <v>0</v>
      </c>
      <c r="AZ63">
        <f t="shared" si="38"/>
        <v>186.91727160000008</v>
      </c>
      <c r="BB63" s="21"/>
      <c r="BC63" s="4" t="s">
        <v>18</v>
      </c>
      <c r="BD63" s="1">
        <f t="shared" si="42"/>
        <v>2.9134483720073697E-5</v>
      </c>
      <c r="BE63" s="1">
        <f t="shared" si="41"/>
        <v>6.6349488970947606E-5</v>
      </c>
      <c r="BF63" s="1">
        <f t="shared" si="0"/>
        <v>2.642646881888957E-5</v>
      </c>
      <c r="BG63" s="1">
        <f t="shared" si="1"/>
        <v>1.5503592849118166E-5</v>
      </c>
      <c r="BH63" s="1">
        <f t="shared" si="2"/>
        <v>1.5290068765730984E-4</v>
      </c>
      <c r="BI63" s="1">
        <f t="shared" si="3"/>
        <v>4.1285178119302671E-4</v>
      </c>
      <c r="BJ63" s="1">
        <f t="shared" si="4"/>
        <v>4.985033963030096E-5</v>
      </c>
      <c r="BK63" s="1">
        <f t="shared" si="5"/>
        <v>2.3804919677696991E-4</v>
      </c>
      <c r="BL63" s="1">
        <f t="shared" si="6"/>
        <v>1.3207292970423284E-5</v>
      </c>
      <c r="BM63" s="1">
        <f>M63/M$92</f>
        <v>3.7160734346158152E-5</v>
      </c>
      <c r="BN63" s="1">
        <f t="shared" si="7"/>
        <v>7.2213089453770979E-3</v>
      </c>
      <c r="BO63" s="1">
        <f t="shared" si="8"/>
        <v>1.0942338948981545E-4</v>
      </c>
      <c r="BP63" s="1">
        <f t="shared" si="9"/>
        <v>6.508363940256853E-5</v>
      </c>
      <c r="BQ63" s="1">
        <f t="shared" si="10"/>
        <v>8.3364119245047047E-5</v>
      </c>
      <c r="BR63" s="1">
        <f t="shared" si="11"/>
        <v>3.4251606816741523E-5</v>
      </c>
      <c r="BS63" s="1">
        <f t="shared" si="12"/>
        <v>1.0368934491240654E-4</v>
      </c>
      <c r="BT63" s="1">
        <f t="shared" si="13"/>
        <v>5.5429595481682336E-5</v>
      </c>
      <c r="BU63" s="1">
        <f t="shared" si="14"/>
        <v>4.4239447743267329E-4</v>
      </c>
      <c r="BV63" s="1">
        <f t="shared" si="15"/>
        <v>1.4303800917554593E-2</v>
      </c>
      <c r="BW63" s="1">
        <f t="shared" si="16"/>
        <v>7.0506175870679665E-5</v>
      </c>
      <c r="BX63" s="1">
        <f t="shared" si="17"/>
        <v>4.0180190467923605E-6</v>
      </c>
      <c r="BY63" s="1">
        <f t="shared" si="18"/>
        <v>5.1163025313907969E-7</v>
      </c>
      <c r="BZ63" s="1">
        <f t="shared" si="19"/>
        <v>1.2764030038525543E-6</v>
      </c>
      <c r="CA63" s="1">
        <f t="shared" si="20"/>
        <v>3.3520331364862969E-5</v>
      </c>
      <c r="CB63" s="1">
        <f t="shared" si="21"/>
        <v>3.0108449456795385E-7</v>
      </c>
      <c r="CC63" s="1">
        <f t="shared" si="22"/>
        <v>5.0789761754933082E-6</v>
      </c>
      <c r="CD63" s="1">
        <f t="shared" si="23"/>
        <v>1.4960755525858358E-5</v>
      </c>
      <c r="CE63" s="1">
        <f t="shared" si="24"/>
        <v>1.7173114587045714E-6</v>
      </c>
      <c r="CF63" s="1">
        <f t="shared" si="25"/>
        <v>2.493662193907511E-5</v>
      </c>
      <c r="CG63" s="1">
        <f t="shared" si="26"/>
        <v>2.0600436114465161E-5</v>
      </c>
      <c r="CH63" s="1">
        <f t="shared" si="27"/>
        <v>2.7183337603406321E-6</v>
      </c>
      <c r="CI63" s="1">
        <f t="shared" si="28"/>
        <v>3.45489952637254E-7</v>
      </c>
      <c r="CJ63" s="1">
        <f t="shared" si="29"/>
        <v>3.648717345075319E-4</v>
      </c>
      <c r="CK63" s="1">
        <f t="shared" si="30"/>
        <v>6.4537607101776371E-5</v>
      </c>
      <c r="CL63" s="1">
        <f t="shared" si="31"/>
        <v>1.7828036022922647E-6</v>
      </c>
      <c r="CM63" s="1">
        <f t="shared" si="32"/>
        <v>3.1382999029011397E-4</v>
      </c>
      <c r="CN63" s="1">
        <f t="shared" si="33"/>
        <v>1.8131908158377431E-4</v>
      </c>
      <c r="CO63" s="1">
        <f t="shared" si="34"/>
        <v>5.2008965605749983E-4</v>
      </c>
      <c r="CP63" s="1">
        <f t="shared" si="35"/>
        <v>1.8924788157417686E-6</v>
      </c>
      <c r="CQ63" s="1">
        <f t="shared" si="36"/>
        <v>1.2638019900022915E-5</v>
      </c>
      <c r="CR63" s="1">
        <f t="shared" si="37"/>
        <v>7.5343284788327754E-5</v>
      </c>
      <c r="CS63" s="25">
        <f t="shared" si="40"/>
        <v>6.6702329141388609E-5</v>
      </c>
    </row>
    <row r="64" spans="1:97" x14ac:dyDescent="0.25">
      <c r="A64" s="14"/>
      <c r="B64" s="11"/>
      <c r="C64" t="s">
        <v>19</v>
      </c>
      <c r="D64">
        <v>1.1940330000000001E-2</v>
      </c>
      <c r="E64">
        <v>1.6786354699999999</v>
      </c>
      <c r="F64">
        <v>1.0761969999999999E-2</v>
      </c>
      <c r="G64">
        <v>0.44398798</v>
      </c>
      <c r="H64">
        <v>0.13710949</v>
      </c>
      <c r="I64">
        <v>4.918997E-2</v>
      </c>
      <c r="J64">
        <v>0.11421355</v>
      </c>
      <c r="K64">
        <v>0.46101196999999999</v>
      </c>
      <c r="L64">
        <v>0.53301677000000003</v>
      </c>
      <c r="M64">
        <v>1.86617572</v>
      </c>
      <c r="N64">
        <v>1.99423872</v>
      </c>
      <c r="O64">
        <v>0.46826921999999999</v>
      </c>
      <c r="P64">
        <v>0.89463422000000004</v>
      </c>
      <c r="Q64">
        <v>0.47478219999999999</v>
      </c>
      <c r="R64">
        <v>0.92265938000000003</v>
      </c>
      <c r="S64">
        <v>0.56975354</v>
      </c>
      <c r="T64">
        <v>1.2264102100000001</v>
      </c>
      <c r="U64">
        <v>7.1930930000000004E-2</v>
      </c>
      <c r="V64">
        <v>0.43263568000000002</v>
      </c>
      <c r="W64">
        <v>6.9451100000000002E-2</v>
      </c>
      <c r="X64">
        <v>3.7658650000000002E-2</v>
      </c>
      <c r="Y64">
        <v>3.8214299999999998E-3</v>
      </c>
      <c r="Z64">
        <v>3.7068600000000002E-3</v>
      </c>
      <c r="AA64">
        <v>3.0920099999999999E-2</v>
      </c>
      <c r="AB64">
        <v>8.5213331100000005</v>
      </c>
      <c r="AC64">
        <v>18.546868679999999</v>
      </c>
      <c r="AD64">
        <v>2.8228999999999998E-4</v>
      </c>
      <c r="AE64">
        <v>0.31115914</v>
      </c>
      <c r="AF64">
        <v>4.6961759999999998E-2</v>
      </c>
      <c r="AG64">
        <v>5.1055099999999997E-3</v>
      </c>
      <c r="AH64">
        <v>0.61238766</v>
      </c>
      <c r="AI64">
        <v>7.18258E-3</v>
      </c>
      <c r="AJ64">
        <v>4.3169599999999999E-3</v>
      </c>
      <c r="AK64">
        <v>0.75179132000000004</v>
      </c>
      <c r="AL64">
        <v>8.0959799999999991E-3</v>
      </c>
      <c r="AM64">
        <v>0.54747559000000001</v>
      </c>
      <c r="AN64">
        <v>2.2879000000000001E-4</v>
      </c>
      <c r="AO64">
        <v>5.5451460000000001E-2</v>
      </c>
      <c r="AP64">
        <v>2.5517399999999998E-3</v>
      </c>
      <c r="AQ64">
        <v>2.7637680000000001E-2</v>
      </c>
      <c r="AR64">
        <v>4.6723900000000002E-3</v>
      </c>
      <c r="AS64">
        <v>1.2092439999999999E-2</v>
      </c>
      <c r="AT64" s="4">
        <v>0</v>
      </c>
      <c r="AU64">
        <v>0</v>
      </c>
      <c r="AV64">
        <v>0</v>
      </c>
      <c r="AW64">
        <v>0</v>
      </c>
      <c r="AX64">
        <v>0</v>
      </c>
      <c r="AY64" s="4">
        <v>0</v>
      </c>
      <c r="AZ64">
        <f t="shared" si="38"/>
        <v>41.972510540000016</v>
      </c>
      <c r="BB64" s="21"/>
      <c r="BC64" s="4" t="s">
        <v>19</v>
      </c>
      <c r="BD64" s="1">
        <f t="shared" si="42"/>
        <v>9.9254936063852805E-6</v>
      </c>
      <c r="BE64" s="1">
        <f t="shared" si="41"/>
        <v>2.2858554392909857E-4</v>
      </c>
      <c r="BF64" s="1">
        <f t="shared" si="0"/>
        <v>1.2684603669105232E-5</v>
      </c>
      <c r="BG64" s="1">
        <f t="shared" si="1"/>
        <v>3.8704737794899001E-5</v>
      </c>
      <c r="BH64" s="1">
        <f t="shared" si="2"/>
        <v>4.4765066923050674E-5</v>
      </c>
      <c r="BI64" s="1">
        <f t="shared" si="3"/>
        <v>1.4655983300320751E-5</v>
      </c>
      <c r="BJ64" s="1">
        <f t="shared" si="4"/>
        <v>3.9185451967628821E-5</v>
      </c>
      <c r="BK64" s="1">
        <f t="shared" si="5"/>
        <v>1.0159126684148665E-4</v>
      </c>
      <c r="BL64" s="1">
        <f t="shared" si="6"/>
        <v>9.4445269914538577E-5</v>
      </c>
      <c r="BM64" s="1">
        <f>M64/M$92</f>
        <v>1.0424844966135777E-4</v>
      </c>
      <c r="BN64" s="1">
        <f t="shared" si="7"/>
        <v>1.3108193722862055E-4</v>
      </c>
      <c r="BO64" s="1">
        <f t="shared" si="8"/>
        <v>7.0267175778701555E-5</v>
      </c>
      <c r="BP64" s="1">
        <f t="shared" si="9"/>
        <v>1.3137783830616229E-4</v>
      </c>
      <c r="BQ64" s="1">
        <f t="shared" si="10"/>
        <v>9.3747637937747545E-5</v>
      </c>
      <c r="BR64" s="1">
        <f t="shared" si="11"/>
        <v>7.4905289383249611E-5</v>
      </c>
      <c r="BS64" s="1">
        <f t="shared" si="12"/>
        <v>5.008207860328857E-5</v>
      </c>
      <c r="BT64" s="1">
        <f t="shared" si="13"/>
        <v>8.0207426611208802E-5</v>
      </c>
      <c r="BU64" s="1">
        <f t="shared" si="14"/>
        <v>5.3760583291457364E-5</v>
      </c>
      <c r="BV64" s="1">
        <f t="shared" si="15"/>
        <v>2.4202678034472417E-4</v>
      </c>
      <c r="BW64" s="1">
        <f t="shared" si="16"/>
        <v>1.4053625603775542E-4</v>
      </c>
      <c r="BX64" s="1">
        <f t="shared" si="17"/>
        <v>3.7592578379537489E-6</v>
      </c>
      <c r="BY64" s="1">
        <f t="shared" si="18"/>
        <v>1.8077381519608649E-6</v>
      </c>
      <c r="BZ64" s="1">
        <f t="shared" si="19"/>
        <v>6.2335444433828437E-6</v>
      </c>
      <c r="CA64" s="1">
        <f t="shared" si="20"/>
        <v>1.0015860270284583E-6</v>
      </c>
      <c r="CB64" s="1">
        <f t="shared" si="21"/>
        <v>4.6240184706696397E-4</v>
      </c>
      <c r="CC64" s="1">
        <f t="shared" si="22"/>
        <v>1.1676293398012558E-3</v>
      </c>
      <c r="CD64" s="1">
        <f t="shared" si="23"/>
        <v>4.3489838391473325E-8</v>
      </c>
      <c r="CE64" s="1">
        <f t="shared" si="24"/>
        <v>1.9474097322995634E-5</v>
      </c>
      <c r="CF64" s="1">
        <f t="shared" si="25"/>
        <v>1.2673196987065535E-5</v>
      </c>
      <c r="CG64" s="1">
        <f t="shared" si="26"/>
        <v>3.1007709666308078E-6</v>
      </c>
      <c r="CH64" s="1">
        <f t="shared" si="27"/>
        <v>3.6536569196121501E-5</v>
      </c>
      <c r="CI64" s="1">
        <f t="shared" si="28"/>
        <v>5.6498993062894038E-7</v>
      </c>
      <c r="CJ64" s="1">
        <f t="shared" si="29"/>
        <v>3.4995161622218264E-7</v>
      </c>
      <c r="CK64" s="1">
        <f t="shared" si="30"/>
        <v>5.104561949081994E-5</v>
      </c>
      <c r="CL64" s="1">
        <f t="shared" si="31"/>
        <v>2.6480891484503633E-6</v>
      </c>
      <c r="CM64" s="1">
        <f t="shared" si="32"/>
        <v>8.0577363601770381E-5</v>
      </c>
      <c r="CN64" s="1">
        <f t="shared" si="33"/>
        <v>1.5205349845733236E-7</v>
      </c>
      <c r="CO64" s="1">
        <f t="shared" si="34"/>
        <v>1.1258941571331924E-5</v>
      </c>
      <c r="CP64" s="1">
        <f t="shared" si="35"/>
        <v>4.0200238026421316E-7</v>
      </c>
      <c r="CQ64" s="1">
        <f t="shared" si="36"/>
        <v>4.3888006170768897E-6</v>
      </c>
      <c r="CR64" s="1">
        <f t="shared" si="37"/>
        <v>2.027597084729463E-6</v>
      </c>
      <c r="CS64" s="25">
        <f t="shared" si="40"/>
        <v>1.2082860662405713E-6</v>
      </c>
    </row>
    <row r="65" spans="1:97" x14ac:dyDescent="0.25">
      <c r="A65" s="14"/>
      <c r="B65" s="11"/>
      <c r="C65" t="s">
        <v>20</v>
      </c>
      <c r="D65">
        <v>0</v>
      </c>
      <c r="E65">
        <v>0</v>
      </c>
      <c r="F65">
        <v>3.5731739999999998E-2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0.24553489000000001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 s="4">
        <v>0</v>
      </c>
      <c r="AU65">
        <v>0</v>
      </c>
      <c r="AV65">
        <v>1.1046464600000001</v>
      </c>
      <c r="AW65">
        <v>1.1046464600000001</v>
      </c>
      <c r="AX65">
        <v>0</v>
      </c>
      <c r="AY65" s="4">
        <v>0</v>
      </c>
      <c r="AZ65">
        <f t="shared" si="38"/>
        <v>1.3859130900000001</v>
      </c>
      <c r="BB65" s="21"/>
      <c r="BC65" s="4" t="s">
        <v>20</v>
      </c>
      <c r="BD65" s="1">
        <f t="shared" si="42"/>
        <v>0</v>
      </c>
      <c r="BE65" s="1">
        <f t="shared" si="41"/>
        <v>0</v>
      </c>
      <c r="BF65" s="1">
        <f t="shared" si="0"/>
        <v>4.2115241011405365E-5</v>
      </c>
      <c r="BG65" s="1">
        <f t="shared" si="1"/>
        <v>0</v>
      </c>
      <c r="BH65" s="1">
        <f t="shared" si="2"/>
        <v>0</v>
      </c>
      <c r="BI65" s="1">
        <f t="shared" si="3"/>
        <v>0</v>
      </c>
      <c r="BJ65" s="1">
        <f t="shared" si="4"/>
        <v>0</v>
      </c>
      <c r="BK65" s="1">
        <f t="shared" si="5"/>
        <v>0</v>
      </c>
      <c r="BL65" s="1">
        <f t="shared" si="6"/>
        <v>0</v>
      </c>
      <c r="BM65" s="1">
        <f>M65/M$92</f>
        <v>0</v>
      </c>
      <c r="BN65" s="1">
        <f t="shared" si="7"/>
        <v>0</v>
      </c>
      <c r="BO65" s="1">
        <f t="shared" si="8"/>
        <v>0</v>
      </c>
      <c r="BP65" s="1">
        <f t="shared" si="9"/>
        <v>0</v>
      </c>
      <c r="BQ65" s="1">
        <f t="shared" si="10"/>
        <v>0</v>
      </c>
      <c r="BR65" s="1">
        <f t="shared" si="11"/>
        <v>0</v>
      </c>
      <c r="BS65" s="1">
        <f t="shared" si="12"/>
        <v>0</v>
      </c>
      <c r="BT65" s="1">
        <f t="shared" si="13"/>
        <v>0</v>
      </c>
      <c r="BU65" s="1">
        <f t="shared" si="14"/>
        <v>0</v>
      </c>
      <c r="BV65" s="1">
        <f t="shared" si="15"/>
        <v>0</v>
      </c>
      <c r="BW65" s="1">
        <f t="shared" si="16"/>
        <v>0</v>
      </c>
      <c r="BX65" s="1">
        <f t="shared" si="17"/>
        <v>2.4510410217137671E-5</v>
      </c>
      <c r="BY65" s="1">
        <f t="shared" si="18"/>
        <v>0</v>
      </c>
      <c r="BZ65" s="1">
        <f t="shared" si="19"/>
        <v>0</v>
      </c>
      <c r="CA65" s="1">
        <f t="shared" si="20"/>
        <v>0</v>
      </c>
      <c r="CB65" s="1">
        <f t="shared" si="21"/>
        <v>0</v>
      </c>
      <c r="CC65" s="1">
        <f t="shared" si="22"/>
        <v>0</v>
      </c>
      <c r="CD65" s="1">
        <f t="shared" si="23"/>
        <v>0</v>
      </c>
      <c r="CE65" s="1">
        <f t="shared" si="24"/>
        <v>0</v>
      </c>
      <c r="CF65" s="1">
        <f t="shared" si="25"/>
        <v>0</v>
      </c>
      <c r="CG65" s="1">
        <f t="shared" si="26"/>
        <v>0</v>
      </c>
      <c r="CH65" s="1">
        <f t="shared" si="27"/>
        <v>0</v>
      </c>
      <c r="CI65" s="1">
        <f t="shared" si="28"/>
        <v>0</v>
      </c>
      <c r="CJ65" s="1">
        <f t="shared" si="29"/>
        <v>0</v>
      </c>
      <c r="CK65" s="1">
        <f t="shared" si="30"/>
        <v>0</v>
      </c>
      <c r="CL65" s="1">
        <f t="shared" si="31"/>
        <v>0</v>
      </c>
      <c r="CM65" s="1">
        <f t="shared" si="32"/>
        <v>0</v>
      </c>
      <c r="CN65" s="1">
        <f t="shared" si="33"/>
        <v>0</v>
      </c>
      <c r="CO65" s="1">
        <f t="shared" si="34"/>
        <v>0</v>
      </c>
      <c r="CP65" s="1">
        <f t="shared" si="35"/>
        <v>0</v>
      </c>
      <c r="CQ65" s="1">
        <f t="shared" si="36"/>
        <v>0</v>
      </c>
      <c r="CR65" s="1">
        <f t="shared" si="37"/>
        <v>0</v>
      </c>
      <c r="CS65" s="25">
        <f t="shared" si="40"/>
        <v>0</v>
      </c>
    </row>
    <row r="66" spans="1:97" x14ac:dyDescent="0.25">
      <c r="A66" s="14"/>
      <c r="B66" s="11"/>
      <c r="C66" t="s">
        <v>21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 s="4">
        <v>0</v>
      </c>
      <c r="AU66">
        <v>0</v>
      </c>
      <c r="AV66">
        <v>0</v>
      </c>
      <c r="AW66">
        <v>0</v>
      </c>
      <c r="AX66">
        <v>0</v>
      </c>
      <c r="AY66" s="4">
        <v>0</v>
      </c>
      <c r="AZ66">
        <f t="shared" si="38"/>
        <v>0</v>
      </c>
      <c r="BB66" s="21"/>
      <c r="BC66" s="4" t="s">
        <v>21</v>
      </c>
      <c r="BD66" s="1">
        <f t="shared" si="42"/>
        <v>0</v>
      </c>
      <c r="BE66" s="1">
        <f t="shared" si="41"/>
        <v>0</v>
      </c>
      <c r="BF66" s="1">
        <f t="shared" si="0"/>
        <v>0</v>
      </c>
      <c r="BG66" s="1">
        <f t="shared" si="1"/>
        <v>0</v>
      </c>
      <c r="BH66" s="1">
        <f t="shared" si="2"/>
        <v>0</v>
      </c>
      <c r="BI66" s="1">
        <f t="shared" si="3"/>
        <v>0</v>
      </c>
      <c r="BJ66" s="1">
        <f t="shared" si="4"/>
        <v>0</v>
      </c>
      <c r="BK66" s="1">
        <f t="shared" si="5"/>
        <v>0</v>
      </c>
      <c r="BL66" s="1">
        <f t="shared" si="6"/>
        <v>0</v>
      </c>
      <c r="BM66" s="1">
        <f>M66/M$92</f>
        <v>0</v>
      </c>
      <c r="BN66" s="1">
        <f t="shared" si="7"/>
        <v>0</v>
      </c>
      <c r="BO66" s="1">
        <f t="shared" si="8"/>
        <v>0</v>
      </c>
      <c r="BP66" s="1">
        <f t="shared" si="9"/>
        <v>0</v>
      </c>
      <c r="BQ66" s="1">
        <f t="shared" si="10"/>
        <v>0</v>
      </c>
      <c r="BR66" s="1">
        <f t="shared" si="11"/>
        <v>0</v>
      </c>
      <c r="BS66" s="1">
        <f t="shared" si="12"/>
        <v>0</v>
      </c>
      <c r="BT66" s="1">
        <f t="shared" si="13"/>
        <v>0</v>
      </c>
      <c r="BU66" s="1">
        <f t="shared" si="14"/>
        <v>0</v>
      </c>
      <c r="BV66" s="1">
        <f t="shared" si="15"/>
        <v>0</v>
      </c>
      <c r="BW66" s="1">
        <f t="shared" si="16"/>
        <v>0</v>
      </c>
      <c r="BX66" s="1">
        <f t="shared" si="17"/>
        <v>0</v>
      </c>
      <c r="BY66" s="1">
        <f t="shared" si="18"/>
        <v>0</v>
      </c>
      <c r="BZ66" s="1">
        <f t="shared" si="19"/>
        <v>0</v>
      </c>
      <c r="CA66" s="1">
        <f t="shared" si="20"/>
        <v>0</v>
      </c>
      <c r="CB66" s="1">
        <f t="shared" si="21"/>
        <v>0</v>
      </c>
      <c r="CC66" s="1">
        <f t="shared" si="22"/>
        <v>0</v>
      </c>
      <c r="CD66" s="1">
        <f t="shared" si="23"/>
        <v>0</v>
      </c>
      <c r="CE66" s="1">
        <f t="shared" si="24"/>
        <v>0</v>
      </c>
      <c r="CF66" s="1">
        <f t="shared" si="25"/>
        <v>0</v>
      </c>
      <c r="CG66" s="1">
        <f t="shared" si="26"/>
        <v>0</v>
      </c>
      <c r="CH66" s="1">
        <f t="shared" si="27"/>
        <v>0</v>
      </c>
      <c r="CI66" s="1">
        <f t="shared" si="28"/>
        <v>0</v>
      </c>
      <c r="CJ66" s="1">
        <f t="shared" si="29"/>
        <v>0</v>
      </c>
      <c r="CK66" s="1">
        <f t="shared" si="30"/>
        <v>0</v>
      </c>
      <c r="CL66" s="1">
        <f t="shared" si="31"/>
        <v>0</v>
      </c>
      <c r="CM66" s="1">
        <f t="shared" si="32"/>
        <v>0</v>
      </c>
      <c r="CN66" s="1">
        <f t="shared" si="33"/>
        <v>0</v>
      </c>
      <c r="CO66" s="1">
        <f t="shared" si="34"/>
        <v>0</v>
      </c>
      <c r="CP66" s="1">
        <f t="shared" si="35"/>
        <v>0</v>
      </c>
      <c r="CQ66" s="1">
        <f t="shared" si="36"/>
        <v>0</v>
      </c>
      <c r="CR66" s="1">
        <f t="shared" si="37"/>
        <v>0</v>
      </c>
      <c r="CS66" s="25">
        <f t="shared" si="40"/>
        <v>0</v>
      </c>
    </row>
    <row r="67" spans="1:97" x14ac:dyDescent="0.25">
      <c r="A67" s="14"/>
      <c r="B67" s="11"/>
      <c r="C67" t="s">
        <v>22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s="4">
        <v>0</v>
      </c>
      <c r="AU67">
        <v>0</v>
      </c>
      <c r="AV67">
        <v>0</v>
      </c>
      <c r="AW67">
        <v>0</v>
      </c>
      <c r="AX67">
        <v>0</v>
      </c>
      <c r="AY67" s="4">
        <v>0</v>
      </c>
      <c r="AZ67">
        <f t="shared" si="38"/>
        <v>0</v>
      </c>
      <c r="BB67" s="21"/>
      <c r="BC67" s="4" t="s">
        <v>22</v>
      </c>
      <c r="BD67" s="1">
        <f t="shared" si="42"/>
        <v>0</v>
      </c>
      <c r="BE67" s="1">
        <f t="shared" si="41"/>
        <v>0</v>
      </c>
      <c r="BF67" s="1">
        <f t="shared" ref="BF67:BF86" si="43">F67/F$92</f>
        <v>0</v>
      </c>
      <c r="BG67" s="1">
        <f t="shared" ref="BG67:BG86" si="44">G67/G$92</f>
        <v>0</v>
      </c>
      <c r="BH67" s="1">
        <f t="shared" ref="BH67:BH86" si="45">H67/H$92</f>
        <v>0</v>
      </c>
      <c r="BI67" s="1">
        <f t="shared" ref="BI67:BI86" si="46">I67/I$92</f>
        <v>0</v>
      </c>
      <c r="BJ67" s="1">
        <f t="shared" ref="BJ67:BJ86" si="47">J67/J$92</f>
        <v>0</v>
      </c>
      <c r="BK67" s="1">
        <f t="shared" ref="BK67:BK86" si="48">K67/K$92</f>
        <v>0</v>
      </c>
      <c r="BL67" s="1">
        <f t="shared" ref="BL67:BL86" si="49">L67/L$92</f>
        <v>0</v>
      </c>
      <c r="BM67" s="1">
        <f t="shared" ref="BM67:BM86" si="50">M67/M$92</f>
        <v>0</v>
      </c>
      <c r="BN67" s="1">
        <f t="shared" ref="BN67:BN86" si="51">N67/N$92</f>
        <v>0</v>
      </c>
      <c r="BO67" s="1">
        <f t="shared" ref="BO67:BO86" si="52">O67/O$92</f>
        <v>0</v>
      </c>
      <c r="BP67" s="1">
        <f t="shared" ref="BP67:BP86" si="53">P67/P$92</f>
        <v>0</v>
      </c>
      <c r="BQ67" s="1">
        <f t="shared" ref="BQ67:BQ86" si="54">Q67/Q$92</f>
        <v>0</v>
      </c>
      <c r="BR67" s="1">
        <f t="shared" ref="BR67:BR86" si="55">R67/R$92</f>
        <v>0</v>
      </c>
      <c r="BS67" s="1">
        <f t="shared" ref="BS67:BS86" si="56">S67/S$92</f>
        <v>0</v>
      </c>
      <c r="BT67" s="1">
        <f t="shared" ref="BT67:BT86" si="57">T67/T$92</f>
        <v>0</v>
      </c>
      <c r="BU67" s="1">
        <f t="shared" ref="BU67:BU86" si="58">U67/U$92</f>
        <v>0</v>
      </c>
      <c r="BV67" s="1">
        <f t="shared" ref="BV67:BV86" si="59">V67/V$92</f>
        <v>0</v>
      </c>
      <c r="BW67" s="1">
        <f t="shared" ref="BW67:BW86" si="60">W67/W$92</f>
        <v>0</v>
      </c>
      <c r="BX67" s="1">
        <f t="shared" ref="BX67:BX86" si="61">X67/X$92</f>
        <v>0</v>
      </c>
      <c r="BY67" s="1">
        <f t="shared" ref="BY67:BY86" si="62">Y67/Y$92</f>
        <v>0</v>
      </c>
      <c r="BZ67" s="1">
        <f t="shared" ref="BZ67:BZ86" si="63">Z67/Z$92</f>
        <v>0</v>
      </c>
      <c r="CA67" s="1">
        <f t="shared" ref="CA67:CA86" si="64">AA67/AA$92</f>
        <v>0</v>
      </c>
      <c r="CB67" s="1">
        <f t="shared" ref="CB67:CB86" si="65">AB67/AB$92</f>
        <v>0</v>
      </c>
      <c r="CC67" s="1">
        <f t="shared" ref="CC67:CC86" si="66">AC67/AC$92</f>
        <v>0</v>
      </c>
      <c r="CD67" s="1">
        <f t="shared" ref="CD67:CD86" si="67">AD67/AD$92</f>
        <v>0</v>
      </c>
      <c r="CE67" s="1">
        <f t="shared" ref="CE67:CE86" si="68">AE67/AE$92</f>
        <v>0</v>
      </c>
      <c r="CF67" s="1">
        <f t="shared" ref="CF67:CF86" si="69">AF67/AF$92</f>
        <v>0</v>
      </c>
      <c r="CG67" s="1">
        <f t="shared" ref="CG67:CG86" si="70">AG67/AG$92</f>
        <v>0</v>
      </c>
      <c r="CH67" s="1">
        <f t="shared" ref="CH67:CH86" si="71">AH67/AH$92</f>
        <v>0</v>
      </c>
      <c r="CI67" s="1">
        <f t="shared" ref="CI67:CI86" si="72">AI67/AI$92</f>
        <v>0</v>
      </c>
      <c r="CJ67" s="1">
        <f t="shared" ref="CJ67:CJ86" si="73">AJ67/AJ$92</f>
        <v>0</v>
      </c>
      <c r="CK67" s="1">
        <f t="shared" ref="CK67:CK86" si="74">AK67/AK$92</f>
        <v>0</v>
      </c>
      <c r="CL67" s="1">
        <f t="shared" ref="CL67:CL86" si="75">AL67/AL$92</f>
        <v>0</v>
      </c>
      <c r="CM67" s="1">
        <f t="shared" ref="CM67:CM86" si="76">AM67/AM$92</f>
        <v>0</v>
      </c>
      <c r="CN67" s="1">
        <f t="shared" ref="CN67:CN86" si="77">AN67/AN$92</f>
        <v>0</v>
      </c>
      <c r="CO67" s="1">
        <f t="shared" ref="CO67:CO86" si="78">AO67/AO$92</f>
        <v>0</v>
      </c>
      <c r="CP67" s="1">
        <f t="shared" ref="CP67:CP86" si="79">AP67/AP$92</f>
        <v>0</v>
      </c>
      <c r="CQ67" s="1">
        <f t="shared" ref="CQ67:CQ86" si="80">AQ67/AQ$92</f>
        <v>0</v>
      </c>
      <c r="CR67" s="1">
        <f t="shared" ref="CR67:CR86" si="81">AR67/AR$92</f>
        <v>0</v>
      </c>
      <c r="CS67" s="25">
        <f t="shared" si="40"/>
        <v>0</v>
      </c>
    </row>
    <row r="68" spans="1:97" x14ac:dyDescent="0.25">
      <c r="A68" s="14"/>
      <c r="B68" s="11"/>
      <c r="C68" t="s">
        <v>23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 s="4">
        <v>55.488446840000002</v>
      </c>
      <c r="AU68">
        <v>0</v>
      </c>
      <c r="AV68">
        <v>55.488446840000002</v>
      </c>
      <c r="AW68">
        <v>0</v>
      </c>
      <c r="AX68">
        <v>0</v>
      </c>
      <c r="AY68" s="4">
        <v>0</v>
      </c>
      <c r="AZ68">
        <f t="shared" ref="AZ68:AZ86" si="82">SUM(D68:AS68)+AV68</f>
        <v>55.488446840000002</v>
      </c>
      <c r="BB68" s="21"/>
      <c r="BC68" s="4" t="s">
        <v>23</v>
      </c>
      <c r="BD68" s="1">
        <f t="shared" si="42"/>
        <v>0</v>
      </c>
      <c r="BE68" s="1">
        <f t="shared" si="41"/>
        <v>0</v>
      </c>
      <c r="BF68" s="1">
        <f t="shared" si="43"/>
        <v>0</v>
      </c>
      <c r="BG68" s="1">
        <f t="shared" si="44"/>
        <v>0</v>
      </c>
      <c r="BH68" s="1">
        <f t="shared" si="45"/>
        <v>0</v>
      </c>
      <c r="BI68" s="1">
        <f t="shared" si="46"/>
        <v>0</v>
      </c>
      <c r="BJ68" s="1">
        <f t="shared" si="47"/>
        <v>0</v>
      </c>
      <c r="BK68" s="1">
        <f t="shared" si="48"/>
        <v>0</v>
      </c>
      <c r="BL68" s="1">
        <f t="shared" si="49"/>
        <v>0</v>
      </c>
      <c r="BM68" s="1">
        <f t="shared" si="50"/>
        <v>0</v>
      </c>
      <c r="BN68" s="1">
        <f t="shared" si="51"/>
        <v>0</v>
      </c>
      <c r="BO68" s="1">
        <f t="shared" si="52"/>
        <v>0</v>
      </c>
      <c r="BP68" s="1">
        <f t="shared" si="53"/>
        <v>0</v>
      </c>
      <c r="BQ68" s="1">
        <f t="shared" si="54"/>
        <v>0</v>
      </c>
      <c r="BR68" s="1">
        <f t="shared" si="55"/>
        <v>0</v>
      </c>
      <c r="BS68" s="1">
        <f t="shared" si="56"/>
        <v>0</v>
      </c>
      <c r="BT68" s="1">
        <f t="shared" si="57"/>
        <v>0</v>
      </c>
      <c r="BU68" s="1">
        <f t="shared" si="58"/>
        <v>0</v>
      </c>
      <c r="BV68" s="1">
        <f t="shared" si="59"/>
        <v>0</v>
      </c>
      <c r="BW68" s="1">
        <f t="shared" si="60"/>
        <v>0</v>
      </c>
      <c r="BX68" s="1">
        <f t="shared" si="61"/>
        <v>0</v>
      </c>
      <c r="BY68" s="1">
        <f t="shared" si="62"/>
        <v>0</v>
      </c>
      <c r="BZ68" s="1">
        <f t="shared" si="63"/>
        <v>0</v>
      </c>
      <c r="CA68" s="1">
        <f t="shared" si="64"/>
        <v>0</v>
      </c>
      <c r="CB68" s="1">
        <f t="shared" si="65"/>
        <v>0</v>
      </c>
      <c r="CC68" s="1">
        <f t="shared" si="66"/>
        <v>0</v>
      </c>
      <c r="CD68" s="1">
        <f t="shared" si="67"/>
        <v>0</v>
      </c>
      <c r="CE68" s="1">
        <f t="shared" si="68"/>
        <v>0</v>
      </c>
      <c r="CF68" s="1">
        <f t="shared" si="69"/>
        <v>0</v>
      </c>
      <c r="CG68" s="1">
        <f t="shared" si="70"/>
        <v>0</v>
      </c>
      <c r="CH68" s="1">
        <f t="shared" si="71"/>
        <v>0</v>
      </c>
      <c r="CI68" s="1">
        <f t="shared" si="72"/>
        <v>0</v>
      </c>
      <c r="CJ68" s="1">
        <f t="shared" si="73"/>
        <v>0</v>
      </c>
      <c r="CK68" s="1">
        <f t="shared" si="74"/>
        <v>0</v>
      </c>
      <c r="CL68" s="1">
        <f t="shared" si="75"/>
        <v>0</v>
      </c>
      <c r="CM68" s="1">
        <f t="shared" si="76"/>
        <v>0</v>
      </c>
      <c r="CN68" s="1">
        <f t="shared" si="77"/>
        <v>0</v>
      </c>
      <c r="CO68" s="1">
        <f t="shared" si="78"/>
        <v>0</v>
      </c>
      <c r="CP68" s="1">
        <f t="shared" si="79"/>
        <v>0</v>
      </c>
      <c r="CQ68" s="1">
        <f t="shared" si="80"/>
        <v>0</v>
      </c>
      <c r="CR68" s="1">
        <f t="shared" si="81"/>
        <v>0</v>
      </c>
      <c r="CS68" s="25">
        <f t="shared" si="40"/>
        <v>0</v>
      </c>
    </row>
    <row r="69" spans="1:97" x14ac:dyDescent="0.25">
      <c r="A69" s="14"/>
      <c r="B69" s="11"/>
      <c r="C69" t="s">
        <v>24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 s="4">
        <v>0</v>
      </c>
      <c r="AU69">
        <v>0</v>
      </c>
      <c r="AV69">
        <v>0</v>
      </c>
      <c r="AW69">
        <v>0</v>
      </c>
      <c r="AX69">
        <v>0</v>
      </c>
      <c r="AY69" s="4">
        <v>0</v>
      </c>
      <c r="AZ69">
        <f t="shared" si="82"/>
        <v>0</v>
      </c>
      <c r="BB69" s="21"/>
      <c r="BC69" s="4" t="s">
        <v>24</v>
      </c>
      <c r="BD69" s="1">
        <f t="shared" si="42"/>
        <v>0</v>
      </c>
      <c r="BE69" s="1">
        <f t="shared" si="41"/>
        <v>0</v>
      </c>
      <c r="BF69" s="1">
        <f t="shared" si="43"/>
        <v>0</v>
      </c>
      <c r="BG69" s="1">
        <f t="shared" si="44"/>
        <v>0</v>
      </c>
      <c r="BH69" s="1">
        <f t="shared" si="45"/>
        <v>0</v>
      </c>
      <c r="BI69" s="1">
        <f t="shared" si="46"/>
        <v>0</v>
      </c>
      <c r="BJ69" s="1">
        <f t="shared" si="47"/>
        <v>0</v>
      </c>
      <c r="BK69" s="1">
        <f t="shared" si="48"/>
        <v>0</v>
      </c>
      <c r="BL69" s="1">
        <f t="shared" si="49"/>
        <v>0</v>
      </c>
      <c r="BM69" s="1">
        <f t="shared" si="50"/>
        <v>0</v>
      </c>
      <c r="BN69" s="1">
        <f t="shared" si="51"/>
        <v>0</v>
      </c>
      <c r="BO69" s="1">
        <f t="shared" si="52"/>
        <v>0</v>
      </c>
      <c r="BP69" s="1">
        <f t="shared" si="53"/>
        <v>0</v>
      </c>
      <c r="BQ69" s="1">
        <f t="shared" si="54"/>
        <v>0</v>
      </c>
      <c r="BR69" s="1">
        <f t="shared" si="55"/>
        <v>0</v>
      </c>
      <c r="BS69" s="1">
        <f t="shared" si="56"/>
        <v>0</v>
      </c>
      <c r="BT69" s="1">
        <f t="shared" si="57"/>
        <v>0</v>
      </c>
      <c r="BU69" s="1">
        <f t="shared" si="58"/>
        <v>0</v>
      </c>
      <c r="BV69" s="1">
        <f t="shared" si="59"/>
        <v>0</v>
      </c>
      <c r="BW69" s="1">
        <f t="shared" si="60"/>
        <v>0</v>
      </c>
      <c r="BX69" s="1">
        <f t="shared" si="61"/>
        <v>0</v>
      </c>
      <c r="BY69" s="1">
        <f t="shared" si="62"/>
        <v>0</v>
      </c>
      <c r="BZ69" s="1">
        <f t="shared" si="63"/>
        <v>0</v>
      </c>
      <c r="CA69" s="1">
        <f t="shared" si="64"/>
        <v>0</v>
      </c>
      <c r="CB69" s="1">
        <f t="shared" si="65"/>
        <v>0</v>
      </c>
      <c r="CC69" s="1">
        <f t="shared" si="66"/>
        <v>0</v>
      </c>
      <c r="CD69" s="1">
        <f t="shared" si="67"/>
        <v>0</v>
      </c>
      <c r="CE69" s="1">
        <f t="shared" si="68"/>
        <v>0</v>
      </c>
      <c r="CF69" s="1">
        <f t="shared" si="69"/>
        <v>0</v>
      </c>
      <c r="CG69" s="1">
        <f t="shared" si="70"/>
        <v>0</v>
      </c>
      <c r="CH69" s="1">
        <f t="shared" si="71"/>
        <v>0</v>
      </c>
      <c r="CI69" s="1">
        <f t="shared" si="72"/>
        <v>0</v>
      </c>
      <c r="CJ69" s="1">
        <f t="shared" si="73"/>
        <v>0</v>
      </c>
      <c r="CK69" s="1">
        <f t="shared" si="74"/>
        <v>0</v>
      </c>
      <c r="CL69" s="1">
        <f t="shared" si="75"/>
        <v>0</v>
      </c>
      <c r="CM69" s="1">
        <f t="shared" si="76"/>
        <v>0</v>
      </c>
      <c r="CN69" s="1">
        <f t="shared" si="77"/>
        <v>0</v>
      </c>
      <c r="CO69" s="1">
        <f t="shared" si="78"/>
        <v>0</v>
      </c>
      <c r="CP69" s="1">
        <f t="shared" si="79"/>
        <v>0</v>
      </c>
      <c r="CQ69" s="1">
        <f t="shared" si="80"/>
        <v>0</v>
      </c>
      <c r="CR69" s="1">
        <f t="shared" si="81"/>
        <v>0</v>
      </c>
      <c r="CS69" s="25">
        <f t="shared" si="40"/>
        <v>0</v>
      </c>
    </row>
    <row r="70" spans="1:97" x14ac:dyDescent="0.25">
      <c r="A70" s="14"/>
      <c r="B70" s="11"/>
      <c r="C70" t="s">
        <v>25</v>
      </c>
      <c r="D70">
        <v>0.13330338999999999</v>
      </c>
      <c r="E70">
        <v>3.0035290300000002</v>
      </c>
      <c r="F70">
        <v>0.38951634000000002</v>
      </c>
      <c r="G70">
        <v>3.9613683499999999</v>
      </c>
      <c r="H70">
        <v>0.94623281999999997</v>
      </c>
      <c r="I70">
        <v>0.99381174000000005</v>
      </c>
      <c r="J70">
        <v>1.2407449800000001</v>
      </c>
      <c r="K70">
        <v>1.52724305</v>
      </c>
      <c r="L70">
        <v>0.53691288000000004</v>
      </c>
      <c r="M70">
        <v>7.7121703699999999</v>
      </c>
      <c r="N70">
        <v>1.3968166200000001</v>
      </c>
      <c r="O70">
        <v>1.7888514499999999</v>
      </c>
      <c r="P70">
        <v>3.6358048699999999</v>
      </c>
      <c r="Q70">
        <v>3.26903693</v>
      </c>
      <c r="R70">
        <v>2.9435436799999999</v>
      </c>
      <c r="S70">
        <v>4.3047670399999998</v>
      </c>
      <c r="T70">
        <v>2.83300756</v>
      </c>
      <c r="U70">
        <v>1.22027697</v>
      </c>
      <c r="V70">
        <v>0.47471302999999998</v>
      </c>
      <c r="W70">
        <v>0.17066790000000001</v>
      </c>
      <c r="X70">
        <v>1.0353044199999999</v>
      </c>
      <c r="Y70">
        <v>0.24591233000000001</v>
      </c>
      <c r="Z70">
        <v>8.6233359999999995E-2</v>
      </c>
      <c r="AA70">
        <v>11.747610679999999</v>
      </c>
      <c r="AB70">
        <v>35.827738539999999</v>
      </c>
      <c r="AC70">
        <v>237.85094895</v>
      </c>
      <c r="AD70">
        <v>1.9435692600000001</v>
      </c>
      <c r="AE70">
        <v>2.1174398499999998</v>
      </c>
      <c r="AF70">
        <v>0.38626278000000003</v>
      </c>
      <c r="AG70">
        <v>0.28254302999999997</v>
      </c>
      <c r="AH70">
        <v>43.702395920000001</v>
      </c>
      <c r="AI70">
        <v>25.241363459999999</v>
      </c>
      <c r="AJ70">
        <v>1.0019975400000001</v>
      </c>
      <c r="AK70">
        <v>87.943383440000005</v>
      </c>
      <c r="AL70">
        <v>1.2718288900000001</v>
      </c>
      <c r="AM70">
        <v>35.907619769999997</v>
      </c>
      <c r="AN70">
        <v>0.80784833</v>
      </c>
      <c r="AO70">
        <v>17.212918349999999</v>
      </c>
      <c r="AP70">
        <v>34.512019000000002</v>
      </c>
      <c r="AQ70">
        <v>5.7453619399999996</v>
      </c>
      <c r="AR70">
        <v>8.2650970200000007</v>
      </c>
      <c r="AS70">
        <v>83.405115390000006</v>
      </c>
      <c r="AT70" s="4">
        <v>0</v>
      </c>
      <c r="AU70">
        <v>0</v>
      </c>
      <c r="AV70">
        <v>120.01036408</v>
      </c>
      <c r="AW70">
        <v>120.01036408</v>
      </c>
      <c r="AX70">
        <v>0</v>
      </c>
      <c r="AY70" s="4">
        <v>0</v>
      </c>
      <c r="AZ70">
        <f t="shared" si="82"/>
        <v>799.0331953299999</v>
      </c>
      <c r="BB70" s="21"/>
      <c r="BC70" s="4" t="s">
        <v>25</v>
      </c>
      <c r="BD70" s="1">
        <f t="shared" si="42"/>
        <v>1.1080949564664322E-4</v>
      </c>
      <c r="BE70" s="1">
        <f t="shared" si="41"/>
        <v>4.0900083984844423E-4</v>
      </c>
      <c r="BF70" s="1">
        <f t="shared" si="43"/>
        <v>4.5910371386841277E-4</v>
      </c>
      <c r="BG70" s="1">
        <f t="shared" si="44"/>
        <v>3.4533304999779878E-4</v>
      </c>
      <c r="BH70" s="1">
        <f t="shared" si="45"/>
        <v>3.0893686142430379E-4</v>
      </c>
      <c r="BI70" s="1">
        <f t="shared" si="46"/>
        <v>2.9610280846080429E-4</v>
      </c>
      <c r="BJ70" s="1">
        <f t="shared" si="47"/>
        <v>4.2568638150085162E-4</v>
      </c>
      <c r="BK70" s="1">
        <f t="shared" si="48"/>
        <v>3.3655212081446808E-4</v>
      </c>
      <c r="BL70" s="1">
        <f t="shared" si="49"/>
        <v>9.5135621853309165E-5</v>
      </c>
      <c r="BM70" s="1">
        <f t="shared" si="50"/>
        <v>4.3081784634769544E-4</v>
      </c>
      <c r="BN70" s="1">
        <f t="shared" si="51"/>
        <v>9.1813195013450507E-5</v>
      </c>
      <c r="BO70" s="1">
        <f t="shared" si="52"/>
        <v>2.6843006952098018E-4</v>
      </c>
      <c r="BP70" s="1">
        <f t="shared" si="53"/>
        <v>5.3392120896472912E-4</v>
      </c>
      <c r="BQ70" s="1">
        <f t="shared" si="54"/>
        <v>6.4548437266343547E-4</v>
      </c>
      <c r="BR70" s="1">
        <f t="shared" si="55"/>
        <v>2.3896900193290775E-4</v>
      </c>
      <c r="BS70" s="1">
        <f t="shared" si="56"/>
        <v>3.7839463229333487E-4</v>
      </c>
      <c r="BT70" s="1">
        <f t="shared" si="57"/>
        <v>1.8527915383034825E-4</v>
      </c>
      <c r="BU70" s="1">
        <f t="shared" si="58"/>
        <v>9.120249339794747E-4</v>
      </c>
      <c r="BV70" s="1">
        <f t="shared" si="59"/>
        <v>2.6556585956708065E-4</v>
      </c>
      <c r="BW70" s="1">
        <f t="shared" si="60"/>
        <v>3.4535130029367484E-4</v>
      </c>
      <c r="BX70" s="1">
        <f t="shared" si="61"/>
        <v>1.0334879916176388E-4</v>
      </c>
      <c r="BY70" s="1">
        <f t="shared" si="62"/>
        <v>1.1632951564691501E-4</v>
      </c>
      <c r="BZ70" s="1">
        <f t="shared" si="63"/>
        <v>1.4501208086149258E-4</v>
      </c>
      <c r="CA70" s="1">
        <f t="shared" si="64"/>
        <v>3.8053701986922049E-4</v>
      </c>
      <c r="CB70" s="1">
        <f t="shared" si="65"/>
        <v>1.9441573593322711E-3</v>
      </c>
      <c r="CC70" s="1">
        <f t="shared" si="66"/>
        <v>1.4974050406313154E-2</v>
      </c>
      <c r="CD70" s="1">
        <f t="shared" si="67"/>
        <v>2.9942793942412199E-4</v>
      </c>
      <c r="CE70" s="1">
        <f t="shared" si="68"/>
        <v>1.3252135133966906E-4</v>
      </c>
      <c r="CF70" s="1">
        <f t="shared" si="69"/>
        <v>1.0423766698078518E-4</v>
      </c>
      <c r="CG70" s="1">
        <f t="shared" si="70"/>
        <v>1.7159915938817029E-4</v>
      </c>
      <c r="CH70" s="1">
        <f t="shared" si="71"/>
        <v>2.6073935137219751E-3</v>
      </c>
      <c r="CI70" s="1">
        <f t="shared" si="72"/>
        <v>1.9855144238205866E-3</v>
      </c>
      <c r="CJ70" s="1">
        <f t="shared" si="73"/>
        <v>8.1226293172429473E-5</v>
      </c>
      <c r="CK70" s="1">
        <f t="shared" si="74"/>
        <v>5.971237454315801E-3</v>
      </c>
      <c r="CL70" s="1">
        <f t="shared" si="75"/>
        <v>4.1599859217718809E-4</v>
      </c>
      <c r="CM70" s="1">
        <f t="shared" si="76"/>
        <v>5.2848773299306517E-3</v>
      </c>
      <c r="CN70" s="1">
        <f t="shared" si="77"/>
        <v>5.3689481533027454E-4</v>
      </c>
      <c r="CO70" s="1">
        <f t="shared" si="78"/>
        <v>3.4949348849382341E-3</v>
      </c>
      <c r="CP70" s="1">
        <f t="shared" si="79"/>
        <v>5.43704052361281E-3</v>
      </c>
      <c r="CQ70" s="1">
        <f t="shared" si="80"/>
        <v>9.1235038641456422E-4</v>
      </c>
      <c r="CR70" s="1">
        <f t="shared" si="81"/>
        <v>3.5866626336325032E-3</v>
      </c>
      <c r="CS70" s="25">
        <f t="shared" si="40"/>
        <v>8.3339043881072855E-3</v>
      </c>
    </row>
    <row r="71" spans="1:97" x14ac:dyDescent="0.25">
      <c r="A71" s="14"/>
      <c r="B71" s="11"/>
      <c r="C71" t="s">
        <v>26</v>
      </c>
      <c r="D71">
        <v>0.11638204000000001</v>
      </c>
      <c r="E71">
        <v>1.2948783399999999</v>
      </c>
      <c r="F71">
        <v>0.28639741000000002</v>
      </c>
      <c r="G71">
        <v>1.8848776599999999</v>
      </c>
      <c r="H71">
        <v>0.36394733000000001</v>
      </c>
      <c r="I71">
        <v>0.51904227000000003</v>
      </c>
      <c r="J71">
        <v>0.62730790999999997</v>
      </c>
      <c r="K71">
        <v>0.69825451000000005</v>
      </c>
      <c r="L71">
        <v>9.3348299999999995E-2</v>
      </c>
      <c r="M71">
        <v>5.3101770200000002</v>
      </c>
      <c r="N71">
        <v>6.7121095799999999</v>
      </c>
      <c r="O71">
        <v>1.2987649699999999</v>
      </c>
      <c r="P71">
        <v>2.1007126500000002</v>
      </c>
      <c r="Q71">
        <v>2.33078568</v>
      </c>
      <c r="R71">
        <v>1.40980975</v>
      </c>
      <c r="S71">
        <v>2.4207254800000002</v>
      </c>
      <c r="T71">
        <v>1.17237082</v>
      </c>
      <c r="U71">
        <v>0.72730286</v>
      </c>
      <c r="V71">
        <v>0.17984585</v>
      </c>
      <c r="W71">
        <v>8.2318589999999997E-2</v>
      </c>
      <c r="X71">
        <v>0.67138732000000001</v>
      </c>
      <c r="Y71">
        <v>6.3648990000000003E-2</v>
      </c>
      <c r="Z71">
        <v>4.773819E-2</v>
      </c>
      <c r="AA71">
        <v>8.7041153900000001</v>
      </c>
      <c r="AB71">
        <v>10.78752967</v>
      </c>
      <c r="AC71">
        <v>11.13601162</v>
      </c>
      <c r="AD71">
        <v>2.14006645</v>
      </c>
      <c r="AE71">
        <v>0.66840147000000005</v>
      </c>
      <c r="AF71">
        <v>0.1663116</v>
      </c>
      <c r="AG71">
        <v>8.2835720000000002E-2</v>
      </c>
      <c r="AH71">
        <v>11.24259531</v>
      </c>
      <c r="AI71">
        <v>19.775214089999999</v>
      </c>
      <c r="AJ71">
        <v>0.69468299</v>
      </c>
      <c r="AK71">
        <v>43.076414010000001</v>
      </c>
      <c r="AL71">
        <v>0.43282300000000001</v>
      </c>
      <c r="AM71">
        <v>17.84964089</v>
      </c>
      <c r="AN71">
        <v>0.49710586000000001</v>
      </c>
      <c r="AO71">
        <v>2.7716518200000002</v>
      </c>
      <c r="AP71">
        <v>5.9935920300000003</v>
      </c>
      <c r="AQ71">
        <v>1.4865189000000001</v>
      </c>
      <c r="AR71">
        <v>6.0135768399999998</v>
      </c>
      <c r="AS71">
        <v>66.106729979999997</v>
      </c>
      <c r="AT71" s="4">
        <v>0</v>
      </c>
      <c r="AU71">
        <v>0</v>
      </c>
      <c r="AV71">
        <v>143.10961184999999</v>
      </c>
      <c r="AW71">
        <v>143.10961184999999</v>
      </c>
      <c r="AX71">
        <v>0</v>
      </c>
      <c r="AY71" s="4">
        <v>0</v>
      </c>
      <c r="AZ71">
        <f t="shared" si="82"/>
        <v>383.14756301</v>
      </c>
      <c r="BB71" s="21"/>
      <c r="BC71" s="4" t="s">
        <v>26</v>
      </c>
      <c r="BD71" s="1">
        <f t="shared" si="42"/>
        <v>9.6743489829684441E-5</v>
      </c>
      <c r="BE71" s="1">
        <f t="shared" si="41"/>
        <v>1.7632802056238465E-4</v>
      </c>
      <c r="BF71" s="1">
        <f t="shared" si="43"/>
        <v>3.3756251297004509E-4</v>
      </c>
      <c r="BG71" s="1">
        <f t="shared" si="44"/>
        <v>1.6431457357418276E-4</v>
      </c>
      <c r="BH71" s="1">
        <f t="shared" si="45"/>
        <v>1.1882566687335508E-4</v>
      </c>
      <c r="BI71" s="1">
        <f t="shared" si="46"/>
        <v>1.5464686888974673E-4</v>
      </c>
      <c r="BJ71" s="1">
        <f t="shared" si="47"/>
        <v>2.1522265944993939E-4</v>
      </c>
      <c r="BK71" s="1">
        <f t="shared" si="48"/>
        <v>1.5387140652482737E-4</v>
      </c>
      <c r="BL71" s="1">
        <f t="shared" si="49"/>
        <v>1.6540390257445972E-5</v>
      </c>
      <c r="BM71" s="1">
        <f t="shared" si="50"/>
        <v>2.9663751158565539E-4</v>
      </c>
      <c r="BN71" s="1">
        <f t="shared" si="51"/>
        <v>4.4118907020177731E-4</v>
      </c>
      <c r="BO71" s="1">
        <f t="shared" si="52"/>
        <v>1.9488905643255829E-4</v>
      </c>
      <c r="BP71" s="1">
        <f t="shared" si="53"/>
        <v>3.0849153842942619E-4</v>
      </c>
      <c r="BQ71" s="1">
        <f t="shared" si="54"/>
        <v>4.6022292335122657E-4</v>
      </c>
      <c r="BR71" s="1">
        <f t="shared" si="55"/>
        <v>1.1445416324611232E-4</v>
      </c>
      <c r="BS71" s="1">
        <f t="shared" si="56"/>
        <v>2.1278492410304895E-4</v>
      </c>
      <c r="BT71" s="1">
        <f t="shared" si="57"/>
        <v>7.6673241742069873E-5</v>
      </c>
      <c r="BU71" s="1">
        <f t="shared" si="58"/>
        <v>5.4358015367165634E-4</v>
      </c>
      <c r="BV71" s="1">
        <f t="shared" si="59"/>
        <v>1.0061008383279948E-4</v>
      </c>
      <c r="BW71" s="1">
        <f t="shared" si="60"/>
        <v>1.6657398429840582E-4</v>
      </c>
      <c r="BX71" s="1">
        <f t="shared" si="61"/>
        <v>6.702093795217729E-5</v>
      </c>
      <c r="BY71" s="1">
        <f t="shared" si="62"/>
        <v>3.0109332777723413E-5</v>
      </c>
      <c r="BZ71" s="1">
        <f t="shared" si="63"/>
        <v>8.0277682192382354E-5</v>
      </c>
      <c r="CA71" s="1">
        <f t="shared" si="64"/>
        <v>2.8194994040340622E-4</v>
      </c>
      <c r="CB71" s="1">
        <f t="shared" si="65"/>
        <v>5.8537479761751451E-4</v>
      </c>
      <c r="CC71" s="1">
        <f t="shared" si="66"/>
        <v>7.0107434954242169E-4</v>
      </c>
      <c r="CD71" s="1">
        <f t="shared" si="67"/>
        <v>3.2970046426552136E-4</v>
      </c>
      <c r="CE71" s="1">
        <f t="shared" si="68"/>
        <v>4.1832341089557418E-5</v>
      </c>
      <c r="CF71" s="1">
        <f t="shared" si="69"/>
        <v>4.4881189887986492E-5</v>
      </c>
      <c r="CG71" s="1">
        <f t="shared" si="70"/>
        <v>5.0309292426409689E-5</v>
      </c>
      <c r="CH71" s="1">
        <f t="shared" si="71"/>
        <v>6.7076116701601416E-4</v>
      </c>
      <c r="CI71" s="1">
        <f t="shared" si="72"/>
        <v>1.5555408832037434E-3</v>
      </c>
      <c r="CJ71" s="1">
        <f t="shared" si="73"/>
        <v>5.6314034670823534E-5</v>
      </c>
      <c r="CK71" s="1">
        <f t="shared" si="74"/>
        <v>2.9248305747710483E-3</v>
      </c>
      <c r="CL71" s="1">
        <f t="shared" si="75"/>
        <v>1.415707412196833E-4</v>
      </c>
      <c r="CM71" s="1">
        <f t="shared" si="76"/>
        <v>2.6271070901162158E-3</v>
      </c>
      <c r="CN71" s="1">
        <f t="shared" si="77"/>
        <v>3.3037582550216738E-4</v>
      </c>
      <c r="CO71" s="1">
        <f t="shared" si="78"/>
        <v>5.6276004089803565E-4</v>
      </c>
      <c r="CP71" s="1">
        <f t="shared" si="79"/>
        <v>9.44233449486475E-4</v>
      </c>
      <c r="CQ71" s="1">
        <f t="shared" si="80"/>
        <v>2.3605581458416405E-4</v>
      </c>
      <c r="CR71" s="1">
        <f t="shared" si="81"/>
        <v>2.6096089730481861E-3</v>
      </c>
      <c r="CS71" s="25">
        <f t="shared" si="40"/>
        <v>6.6054361832319905E-3</v>
      </c>
    </row>
    <row r="72" spans="1:97" x14ac:dyDescent="0.25">
      <c r="A72" s="14"/>
      <c r="B72" s="11"/>
      <c r="C72" t="s">
        <v>27</v>
      </c>
      <c r="D72">
        <v>7.2572000000000001E-4</v>
      </c>
      <c r="E72">
        <v>5.0973800000000003E-3</v>
      </c>
      <c r="F72">
        <v>5.0568E-4</v>
      </c>
      <c r="G72">
        <v>485.01171364999999</v>
      </c>
      <c r="H72">
        <v>30.632181330000002</v>
      </c>
      <c r="I72">
        <v>0.59861850999999999</v>
      </c>
      <c r="J72">
        <v>44.856380710000003</v>
      </c>
      <c r="K72">
        <v>0.37403711000000001</v>
      </c>
      <c r="L72">
        <v>1.324735E-2</v>
      </c>
      <c r="M72">
        <v>30.357525949999999</v>
      </c>
      <c r="N72">
        <v>4.2736900000000001E-3</v>
      </c>
      <c r="O72">
        <v>5.0363700000000001E-3</v>
      </c>
      <c r="P72">
        <v>9.1073899999999999E-3</v>
      </c>
      <c r="Q72">
        <v>2.1898939999999999E-2</v>
      </c>
      <c r="R72">
        <v>2.0078470000000001E-2</v>
      </c>
      <c r="S72">
        <v>4.5104100000000003E-3</v>
      </c>
      <c r="T72">
        <v>4.6332300000000003E-3</v>
      </c>
      <c r="U72">
        <v>3.5976999999999998E-4</v>
      </c>
      <c r="V72">
        <v>2.1430689999999999E-2</v>
      </c>
      <c r="W72">
        <v>1.1256000000000001E-4</v>
      </c>
      <c r="X72">
        <v>1.3520259999999999E-2</v>
      </c>
      <c r="Y72">
        <v>4.1490600000000004E-3</v>
      </c>
      <c r="Z72">
        <v>1.9793999999999999E-4</v>
      </c>
      <c r="AA72">
        <v>0.19288010999999999</v>
      </c>
      <c r="AB72">
        <v>3.9609399999999996E-3</v>
      </c>
      <c r="AC72">
        <v>4.7348700000000004E-3</v>
      </c>
      <c r="AD72">
        <v>2.9612387600000001</v>
      </c>
      <c r="AE72">
        <v>129.55199346000001</v>
      </c>
      <c r="AF72">
        <v>3.0993800000000001E-3</v>
      </c>
      <c r="AG72">
        <v>3.5678000000000001E-4</v>
      </c>
      <c r="AH72">
        <v>8.2375199999999999E-3</v>
      </c>
      <c r="AI72">
        <v>5.2969799999999997E-3</v>
      </c>
      <c r="AJ72">
        <v>1.4676710000000001E-2</v>
      </c>
      <c r="AK72">
        <v>7.8409039999999999E-2</v>
      </c>
      <c r="AL72">
        <v>8.3310799999999994E-3</v>
      </c>
      <c r="AM72">
        <v>9.11322E-3</v>
      </c>
      <c r="AN72">
        <v>6.0729659999999998E-2</v>
      </c>
      <c r="AO72">
        <v>3.4229540000000003E-2</v>
      </c>
      <c r="AP72">
        <v>1.859953E-2</v>
      </c>
      <c r="AQ72">
        <v>8.5882500000000004E-3</v>
      </c>
      <c r="AR72">
        <v>1.5110480000000001E-2</v>
      </c>
      <c r="AS72">
        <v>9.7861100000000006E-3</v>
      </c>
      <c r="AT72" s="4">
        <v>3.0894653000000001</v>
      </c>
      <c r="AU72">
        <v>66.248615650000005</v>
      </c>
      <c r="AV72">
        <v>236.77915952999999</v>
      </c>
      <c r="AW72">
        <v>167.25004970000001</v>
      </c>
      <c r="AX72">
        <v>0.19102888000000001</v>
      </c>
      <c r="AY72" s="4">
        <v>0</v>
      </c>
      <c r="AZ72">
        <f t="shared" si="82"/>
        <v>961.72787412000002</v>
      </c>
      <c r="BB72" s="21"/>
      <c r="BC72" s="4" t="s">
        <v>27</v>
      </c>
      <c r="BD72" s="1">
        <f t="shared" si="42"/>
        <v>6.032604810776524E-7</v>
      </c>
      <c r="BE72" s="1">
        <f t="shared" si="41"/>
        <v>6.9412770118178699E-7</v>
      </c>
      <c r="BF72" s="1">
        <f t="shared" si="43"/>
        <v>5.9602009514922776E-7</v>
      </c>
      <c r="BG72" s="1">
        <f t="shared" si="44"/>
        <v>4.2280989688680055E-2</v>
      </c>
      <c r="BH72" s="1">
        <f t="shared" si="45"/>
        <v>1.0001143226748737E-2</v>
      </c>
      <c r="BI72" s="1">
        <f t="shared" si="46"/>
        <v>1.7835633739607669E-4</v>
      </c>
      <c r="BJ72" s="1">
        <f t="shared" si="47"/>
        <v>1.5389746240733936E-2</v>
      </c>
      <c r="BK72" s="1">
        <f t="shared" si="48"/>
        <v>8.2424983131410871E-5</v>
      </c>
      <c r="BL72" s="1">
        <f t="shared" si="49"/>
        <v>2.3472986532907073E-6</v>
      </c>
      <c r="BM72" s="1">
        <f t="shared" si="50"/>
        <v>1.6958344179089078E-3</v>
      </c>
      <c r="BN72" s="1">
        <f t="shared" si="51"/>
        <v>2.8091098557878933E-7</v>
      </c>
      <c r="BO72" s="1">
        <f t="shared" si="52"/>
        <v>7.5574366403279544E-7</v>
      </c>
      <c r="BP72" s="1">
        <f t="shared" si="53"/>
        <v>1.337428397061717E-6</v>
      </c>
      <c r="BQ72" s="1">
        <f t="shared" si="54"/>
        <v>4.3240329952143467E-6</v>
      </c>
      <c r="BR72" s="1">
        <f t="shared" si="55"/>
        <v>1.630052908282248E-6</v>
      </c>
      <c r="BS72" s="1">
        <f t="shared" si="56"/>
        <v>3.964709164475903E-7</v>
      </c>
      <c r="BT72" s="1">
        <f t="shared" si="57"/>
        <v>3.0301399333413162E-7</v>
      </c>
      <c r="BU72" s="1">
        <f t="shared" si="58"/>
        <v>2.6888912809507138E-7</v>
      </c>
      <c r="BV72" s="1">
        <f t="shared" si="59"/>
        <v>1.1988842208450945E-5</v>
      </c>
      <c r="BW72" s="1">
        <f t="shared" si="60"/>
        <v>2.2776832878974922E-7</v>
      </c>
      <c r="BX72" s="1">
        <f t="shared" si="61"/>
        <v>1.3496538876505809E-6</v>
      </c>
      <c r="BY72" s="1">
        <f t="shared" si="62"/>
        <v>1.9627244400066852E-6</v>
      </c>
      <c r="BZ72" s="1">
        <f t="shared" si="63"/>
        <v>3.3286063868697497E-7</v>
      </c>
      <c r="CA72" s="1">
        <f t="shared" si="64"/>
        <v>6.2479106816508356E-6</v>
      </c>
      <c r="CB72" s="1">
        <f t="shared" si="65"/>
        <v>2.1493655376199934E-7</v>
      </c>
      <c r="CC72" s="1">
        <f t="shared" si="66"/>
        <v>2.9808660575175716E-7</v>
      </c>
      <c r="CD72" s="1">
        <f t="shared" si="67"/>
        <v>4.5621097138037785E-4</v>
      </c>
      <c r="CE72" s="1">
        <f t="shared" si="68"/>
        <v>8.1080958413374399E-3</v>
      </c>
      <c r="CF72" s="1">
        <f t="shared" si="69"/>
        <v>8.3640505121126596E-7</v>
      </c>
      <c r="CG72" s="1">
        <f t="shared" si="70"/>
        <v>2.1668610295044758E-7</v>
      </c>
      <c r="CH72" s="1">
        <f t="shared" si="71"/>
        <v>4.9147090828779078E-7</v>
      </c>
      <c r="CI72" s="1">
        <f t="shared" si="72"/>
        <v>4.1666648512691602E-7</v>
      </c>
      <c r="CJ72" s="1">
        <f t="shared" si="73"/>
        <v>1.1897581597522957E-6</v>
      </c>
      <c r="CK72" s="1">
        <f t="shared" si="74"/>
        <v>5.3238683581508758E-6</v>
      </c>
      <c r="CL72" s="1">
        <f t="shared" si="75"/>
        <v>2.7249872829320047E-6</v>
      </c>
      <c r="CM72" s="1">
        <f t="shared" si="76"/>
        <v>1.3412821593067298E-6</v>
      </c>
      <c r="CN72" s="1">
        <f t="shared" si="77"/>
        <v>4.036084297007875E-5</v>
      </c>
      <c r="CO72" s="1">
        <f t="shared" si="78"/>
        <v>6.9500134148599325E-6</v>
      </c>
      <c r="CP72" s="1">
        <f t="shared" si="79"/>
        <v>2.9301791451306328E-6</v>
      </c>
      <c r="CQ72" s="1">
        <f t="shared" si="80"/>
        <v>1.3637945333910297E-6</v>
      </c>
      <c r="CR72" s="1">
        <f t="shared" si="81"/>
        <v>6.5572362745538907E-6</v>
      </c>
      <c r="CS72" s="25">
        <f t="shared" si="40"/>
        <v>9.7783576810780286E-7</v>
      </c>
    </row>
    <row r="73" spans="1:97" x14ac:dyDescent="0.25">
      <c r="A73" s="14"/>
      <c r="B73" s="11"/>
      <c r="C73" t="s">
        <v>28</v>
      </c>
      <c r="D73">
        <v>4.6814500000000002E-3</v>
      </c>
      <c r="E73">
        <v>20.98386854</v>
      </c>
      <c r="F73">
        <v>1.013881E-2</v>
      </c>
      <c r="G73">
        <v>1.798549E-2</v>
      </c>
      <c r="H73">
        <v>1.1525519999999999E-2</v>
      </c>
      <c r="I73">
        <v>3.4887799999999999E-3</v>
      </c>
      <c r="J73">
        <v>2.3238899999999999E-3</v>
      </c>
      <c r="K73">
        <v>6.9247645499999999</v>
      </c>
      <c r="L73">
        <v>24.8761063</v>
      </c>
      <c r="M73">
        <v>2.6334613500000001</v>
      </c>
      <c r="N73">
        <v>44.791390620000001</v>
      </c>
      <c r="O73">
        <v>4.1057100000000003E-3</v>
      </c>
      <c r="P73">
        <v>2.9927399999999998E-3</v>
      </c>
      <c r="Q73">
        <v>2.0951199999999998E-3</v>
      </c>
      <c r="R73">
        <v>8.1537000000000005E-4</v>
      </c>
      <c r="S73">
        <v>1.77747E-3</v>
      </c>
      <c r="T73">
        <v>4.7099999999999998E-6</v>
      </c>
      <c r="U73">
        <v>1.6181999999999999E-4</v>
      </c>
      <c r="V73">
        <v>9.8091999999999993E-4</v>
      </c>
      <c r="W73">
        <v>4.9744999999999998E-4</v>
      </c>
      <c r="X73">
        <v>183.09059187</v>
      </c>
      <c r="Y73">
        <v>1.959319E-2</v>
      </c>
      <c r="Z73">
        <v>0</v>
      </c>
      <c r="AA73">
        <v>7.0003799999999996E-3</v>
      </c>
      <c r="AB73">
        <v>3.7837999999999999E-4</v>
      </c>
      <c r="AC73">
        <v>1.06336E-3</v>
      </c>
      <c r="AD73">
        <v>4.1919E-4</v>
      </c>
      <c r="AE73">
        <v>4.99301E-3</v>
      </c>
      <c r="AF73">
        <v>84.948493880000001</v>
      </c>
      <c r="AG73">
        <v>5.2924000000000005E-4</v>
      </c>
      <c r="AH73">
        <v>0</v>
      </c>
      <c r="AI73">
        <v>1.4291E-4</v>
      </c>
      <c r="AJ73">
        <v>5.2570999999999998E-4</v>
      </c>
      <c r="AK73">
        <v>1.4500000000000001E-6</v>
      </c>
      <c r="AL73">
        <v>1.9459600000000001E-3</v>
      </c>
      <c r="AM73">
        <v>1.41205E-3</v>
      </c>
      <c r="AN73">
        <v>6.7984999999999996E-4</v>
      </c>
      <c r="AO73">
        <v>2.7142899999999998E-3</v>
      </c>
      <c r="AP73">
        <v>5.0425799999999996E-3</v>
      </c>
      <c r="AQ73">
        <v>2.99315E-3</v>
      </c>
      <c r="AR73">
        <v>3.4546000000000002E-4</v>
      </c>
      <c r="AS73">
        <v>4.3314800000000004E-3</v>
      </c>
      <c r="AT73" s="4">
        <v>0</v>
      </c>
      <c r="AU73">
        <v>3.3709402100000001</v>
      </c>
      <c r="AV73">
        <v>4.7541962099999999</v>
      </c>
      <c r="AW73">
        <v>0</v>
      </c>
      <c r="AX73">
        <v>1.383256</v>
      </c>
      <c r="AY73" s="4">
        <v>0</v>
      </c>
      <c r="AZ73">
        <f t="shared" si="82"/>
        <v>373.12056021000001</v>
      </c>
      <c r="BB73" s="21"/>
      <c r="BC73" s="4" t="s">
        <v>28</v>
      </c>
      <c r="BD73" s="1">
        <f t="shared" si="42"/>
        <v>3.8914922823416419E-6</v>
      </c>
      <c r="BE73" s="1">
        <f t="shared" si="41"/>
        <v>2.8574452820019345E-3</v>
      </c>
      <c r="BF73" s="1">
        <f t="shared" si="43"/>
        <v>1.1950115687588873E-5</v>
      </c>
      <c r="BG73" s="1">
        <f t="shared" si="44"/>
        <v>1.5678885598722245E-6</v>
      </c>
      <c r="BH73" s="1">
        <f t="shared" si="45"/>
        <v>3.7629829570729131E-6</v>
      </c>
      <c r="BI73" s="1">
        <f t="shared" si="46"/>
        <v>1.0394700671395617E-6</v>
      </c>
      <c r="BJ73" s="1">
        <f t="shared" si="47"/>
        <v>7.9730189608021939E-7</v>
      </c>
      <c r="BK73" s="1">
        <f t="shared" si="48"/>
        <v>1.5259812087168088E-3</v>
      </c>
      <c r="BL73" s="1">
        <f t="shared" si="49"/>
        <v>4.4077986025209933E-3</v>
      </c>
      <c r="BM73" s="1">
        <f t="shared" si="50"/>
        <v>1.4711061774000912E-4</v>
      </c>
      <c r="BN73" s="1">
        <f t="shared" si="51"/>
        <v>2.9441521693217665E-3</v>
      </c>
      <c r="BO73" s="1">
        <f t="shared" si="52"/>
        <v>6.1609141481981841E-7</v>
      </c>
      <c r="BP73" s="1">
        <f t="shared" si="53"/>
        <v>4.3948655553594196E-7</v>
      </c>
      <c r="BQ73" s="1">
        <f t="shared" si="54"/>
        <v>4.1368979543911632E-7</v>
      </c>
      <c r="BR73" s="1">
        <f t="shared" si="55"/>
        <v>6.6195095533977265E-8</v>
      </c>
      <c r="BS73" s="1">
        <f t="shared" si="56"/>
        <v>1.5624192919448526E-7</v>
      </c>
      <c r="BT73" s="1">
        <f t="shared" si="57"/>
        <v>3.0803476378331312E-10</v>
      </c>
      <c r="BU73" s="1">
        <f t="shared" si="58"/>
        <v>1.2094293217429039E-7</v>
      </c>
      <c r="BV73" s="1">
        <f t="shared" si="59"/>
        <v>5.4875018485702981E-7</v>
      </c>
      <c r="BW73" s="1">
        <f t="shared" si="60"/>
        <v>1.0066040792151808E-6</v>
      </c>
      <c r="BX73" s="1">
        <f t="shared" si="61"/>
        <v>1.8276936176493008E-2</v>
      </c>
      <c r="BY73" s="1">
        <f t="shared" si="62"/>
        <v>9.2686133415025528E-6</v>
      </c>
      <c r="BZ73" s="1">
        <f t="shared" si="63"/>
        <v>0</v>
      </c>
      <c r="CA73" s="1">
        <f t="shared" si="64"/>
        <v>2.2676132327804498E-7</v>
      </c>
      <c r="CB73" s="1">
        <f t="shared" si="65"/>
        <v>2.0532422407929764E-8</v>
      </c>
      <c r="CC73" s="1">
        <f t="shared" si="66"/>
        <v>6.6944472201388514E-8</v>
      </c>
      <c r="CD73" s="1">
        <f t="shared" si="67"/>
        <v>6.4580769263245965E-8</v>
      </c>
      <c r="CE73" s="1">
        <f t="shared" si="68"/>
        <v>3.1249078100257777E-7</v>
      </c>
      <c r="CF73" s="1">
        <f t="shared" si="69"/>
        <v>2.2924374995651167E-2</v>
      </c>
      <c r="CG73" s="1">
        <f t="shared" si="70"/>
        <v>3.2142763923284623E-7</v>
      </c>
      <c r="CH73" s="1">
        <f t="shared" si="71"/>
        <v>0</v>
      </c>
      <c r="CI73" s="1">
        <f t="shared" si="72"/>
        <v>1.1241463511187049E-8</v>
      </c>
      <c r="CJ73" s="1">
        <f t="shared" si="73"/>
        <v>4.2616346726437968E-8</v>
      </c>
      <c r="CK73" s="1">
        <f t="shared" si="74"/>
        <v>9.8453049792712309E-11</v>
      </c>
      <c r="CL73" s="1">
        <f t="shared" si="75"/>
        <v>6.3649805944659814E-7</v>
      </c>
      <c r="CM73" s="1">
        <f t="shared" si="76"/>
        <v>2.0782527723999505E-7</v>
      </c>
      <c r="CN73" s="1">
        <f t="shared" si="77"/>
        <v>4.5182731293420776E-7</v>
      </c>
      <c r="CO73" s="1">
        <f t="shared" si="78"/>
        <v>5.5111321717499456E-7</v>
      </c>
      <c r="CP73" s="1">
        <f t="shared" si="79"/>
        <v>7.9441054444132872E-7</v>
      </c>
      <c r="CQ73" s="1">
        <f t="shared" si="80"/>
        <v>4.7530540070670519E-7</v>
      </c>
      <c r="CR73" s="1">
        <f t="shared" si="81"/>
        <v>1.49913361018802E-7</v>
      </c>
      <c r="CS73" s="25">
        <f t="shared" si="40"/>
        <v>4.3280487066296887E-7</v>
      </c>
    </row>
    <row r="74" spans="1:97" x14ac:dyDescent="0.25">
      <c r="A74" s="14"/>
      <c r="B74" s="11"/>
      <c r="C74" t="s">
        <v>29</v>
      </c>
      <c r="D74">
        <v>1E-8</v>
      </c>
      <c r="E74">
        <v>2.7000000000000001E-7</v>
      </c>
      <c r="F74">
        <v>1.4000000000000001E-7</v>
      </c>
      <c r="G74">
        <v>0</v>
      </c>
      <c r="H74">
        <v>0</v>
      </c>
      <c r="I74">
        <v>0</v>
      </c>
      <c r="J74">
        <v>0</v>
      </c>
      <c r="K74">
        <v>0</v>
      </c>
      <c r="L74">
        <v>2227.83795689</v>
      </c>
      <c r="M74">
        <v>53.20465343</v>
      </c>
      <c r="N74">
        <v>8.0000000000000002E-8</v>
      </c>
      <c r="O74">
        <v>0</v>
      </c>
      <c r="P74">
        <v>2.9999999999999997E-8</v>
      </c>
      <c r="Q74">
        <v>1E-8</v>
      </c>
      <c r="R74">
        <v>4.0000000000000001E-8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450.99491539000002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1E-8</v>
      </c>
      <c r="AG74">
        <v>1.2685605499999999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 s="4">
        <v>0</v>
      </c>
      <c r="AU74">
        <v>59.831784149999997</v>
      </c>
      <c r="AV74">
        <v>62.536456360000003</v>
      </c>
      <c r="AW74">
        <v>0</v>
      </c>
      <c r="AX74">
        <v>2.70467221</v>
      </c>
      <c r="AY74" s="4">
        <v>0</v>
      </c>
      <c r="AZ74">
        <f t="shared" si="82"/>
        <v>2795.8425432100003</v>
      </c>
      <c r="BB74" s="21"/>
      <c r="BC74" s="4" t="s">
        <v>29</v>
      </c>
      <c r="BD74" s="1">
        <f t="shared" si="42"/>
        <v>8.3125789709206359E-12</v>
      </c>
      <c r="BE74" s="1">
        <f t="shared" si="41"/>
        <v>3.6766825176675564E-11</v>
      </c>
      <c r="BF74" s="1">
        <f t="shared" si="43"/>
        <v>1.6501110053965333E-10</v>
      </c>
      <c r="BG74" s="1">
        <f t="shared" si="44"/>
        <v>0</v>
      </c>
      <c r="BH74" s="1">
        <f t="shared" si="45"/>
        <v>0</v>
      </c>
      <c r="BI74" s="1">
        <f t="shared" si="46"/>
        <v>0</v>
      </c>
      <c r="BJ74" s="1">
        <f t="shared" si="47"/>
        <v>0</v>
      </c>
      <c r="BK74" s="1">
        <f t="shared" si="48"/>
        <v>0</v>
      </c>
      <c r="BL74" s="1">
        <f t="shared" si="49"/>
        <v>0.39475072644399201</v>
      </c>
      <c r="BM74" s="1">
        <f t="shared" si="50"/>
        <v>2.9721223866567832E-3</v>
      </c>
      <c r="BN74" s="1">
        <f t="shared" si="51"/>
        <v>5.25842511887927E-12</v>
      </c>
      <c r="BO74" s="1">
        <f t="shared" si="52"/>
        <v>0</v>
      </c>
      <c r="BP74" s="1">
        <f t="shared" si="53"/>
        <v>4.4055269305313054E-12</v>
      </c>
      <c r="BQ74" s="1">
        <f t="shared" si="54"/>
        <v>1.9745398613879701E-12</v>
      </c>
      <c r="BR74" s="1">
        <f t="shared" si="55"/>
        <v>3.2473647808468433E-12</v>
      </c>
      <c r="BS74" s="1">
        <f t="shared" si="56"/>
        <v>0</v>
      </c>
      <c r="BT74" s="1">
        <f t="shared" si="57"/>
        <v>0</v>
      </c>
      <c r="BU74" s="1">
        <f t="shared" si="58"/>
        <v>0</v>
      </c>
      <c r="BV74" s="1">
        <f t="shared" si="59"/>
        <v>0</v>
      </c>
      <c r="BW74" s="1">
        <f t="shared" si="60"/>
        <v>0</v>
      </c>
      <c r="BX74" s="1">
        <f t="shared" si="61"/>
        <v>0</v>
      </c>
      <c r="BY74" s="1">
        <f t="shared" si="62"/>
        <v>0.21334440638474741</v>
      </c>
      <c r="BZ74" s="1">
        <f t="shared" si="63"/>
        <v>0</v>
      </c>
      <c r="CA74" s="1">
        <f t="shared" si="64"/>
        <v>0</v>
      </c>
      <c r="CB74" s="1">
        <f t="shared" si="65"/>
        <v>0</v>
      </c>
      <c r="CC74" s="1">
        <f t="shared" si="66"/>
        <v>0</v>
      </c>
      <c r="CD74" s="1">
        <f t="shared" si="67"/>
        <v>0</v>
      </c>
      <c r="CE74" s="1">
        <f t="shared" si="68"/>
        <v>0</v>
      </c>
      <c r="CF74" s="1">
        <f t="shared" si="69"/>
        <v>2.6986205344658155E-12</v>
      </c>
      <c r="CG74" s="1">
        <f t="shared" si="70"/>
        <v>7.704452097544043E-4</v>
      </c>
      <c r="CH74" s="1">
        <f t="shared" si="71"/>
        <v>0</v>
      </c>
      <c r="CI74" s="1">
        <f t="shared" si="72"/>
        <v>0</v>
      </c>
      <c r="CJ74" s="1">
        <f t="shared" si="73"/>
        <v>0</v>
      </c>
      <c r="CK74" s="1">
        <f t="shared" si="74"/>
        <v>0</v>
      </c>
      <c r="CL74" s="1">
        <f t="shared" si="75"/>
        <v>0</v>
      </c>
      <c r="CM74" s="1">
        <f t="shared" si="76"/>
        <v>0</v>
      </c>
      <c r="CN74" s="1">
        <f t="shared" si="77"/>
        <v>0</v>
      </c>
      <c r="CO74" s="1">
        <f t="shared" si="78"/>
        <v>0</v>
      </c>
      <c r="CP74" s="1">
        <f t="shared" si="79"/>
        <v>0</v>
      </c>
      <c r="CQ74" s="1">
        <f t="shared" si="80"/>
        <v>0</v>
      </c>
      <c r="CR74" s="1">
        <f t="shared" si="81"/>
        <v>0</v>
      </c>
      <c r="CS74" s="25">
        <f t="shared" si="40"/>
        <v>0</v>
      </c>
    </row>
    <row r="75" spans="1:97" x14ac:dyDescent="0.25">
      <c r="A75" s="14"/>
      <c r="B75" s="11"/>
      <c r="C75" t="s">
        <v>30</v>
      </c>
      <c r="D75">
        <v>8.6967000000000001E-4</v>
      </c>
      <c r="E75">
        <v>2.51359E-3</v>
      </c>
      <c r="F75">
        <v>1.9749199999999998E-3</v>
      </c>
      <c r="G75">
        <v>1.41442E-3</v>
      </c>
      <c r="H75">
        <v>8.1826000000000002E-4</v>
      </c>
      <c r="I75">
        <v>3.0089E-4</v>
      </c>
      <c r="J75">
        <v>1.23711E-3</v>
      </c>
      <c r="K75">
        <v>1.3456900000000001E-3</v>
      </c>
      <c r="L75">
        <v>8.8006E-4</v>
      </c>
      <c r="M75">
        <v>4.2626599999999997E-3</v>
      </c>
      <c r="N75">
        <v>9.3660199999999992E-3</v>
      </c>
      <c r="O75">
        <v>2.8939500000000002E-3</v>
      </c>
      <c r="P75">
        <v>2.199216E-2</v>
      </c>
      <c r="Q75">
        <v>1.9966399999999999E-2</v>
      </c>
      <c r="R75">
        <v>1.010406E-2</v>
      </c>
      <c r="S75">
        <v>9.4532000000000001E-3</v>
      </c>
      <c r="T75">
        <v>1.8315123900000001</v>
      </c>
      <c r="U75">
        <v>1.4860800000000001E-3</v>
      </c>
      <c r="V75">
        <v>1.3568E-4</v>
      </c>
      <c r="W75">
        <v>4.5625E-4</v>
      </c>
      <c r="X75">
        <v>4.7884900000000003E-3</v>
      </c>
      <c r="Y75">
        <v>1.1498E-4</v>
      </c>
      <c r="Z75">
        <v>8.5589999999999999E-5</v>
      </c>
      <c r="AA75">
        <v>1.044019E-2</v>
      </c>
      <c r="AB75">
        <v>0.91482891</v>
      </c>
      <c r="AC75">
        <v>0.26885805000000002</v>
      </c>
      <c r="AD75">
        <v>3.3082689999999998E-2</v>
      </c>
      <c r="AE75">
        <v>4.95839E-3</v>
      </c>
      <c r="AF75">
        <v>1.6699799999999999E-3</v>
      </c>
      <c r="AG75">
        <v>3.4239499999999998E-3</v>
      </c>
      <c r="AH75">
        <v>55.454445100000001</v>
      </c>
      <c r="AI75">
        <v>1.29412156</v>
      </c>
      <c r="AJ75">
        <v>9.3809099999999992E-3</v>
      </c>
      <c r="AK75">
        <v>1.84659259</v>
      </c>
      <c r="AL75">
        <v>4.4838410000000002E-2</v>
      </c>
      <c r="AM75">
        <v>0.46337314000000002</v>
      </c>
      <c r="AN75">
        <v>6.1450999999999997E-4</v>
      </c>
      <c r="AO75">
        <v>2.4260100000000001E-3</v>
      </c>
      <c r="AP75">
        <v>3.3977130000000001E-2</v>
      </c>
      <c r="AQ75">
        <v>8.5360499999999999E-3</v>
      </c>
      <c r="AR75">
        <v>9.4117889999999996E-2</v>
      </c>
      <c r="AS75">
        <v>2.385292E-2</v>
      </c>
      <c r="AT75" s="4">
        <v>242.32983579</v>
      </c>
      <c r="AU75">
        <v>0</v>
      </c>
      <c r="AV75">
        <v>250.2603215</v>
      </c>
      <c r="AW75">
        <v>7.9304857200000001</v>
      </c>
      <c r="AX75">
        <v>0</v>
      </c>
      <c r="AY75" s="4">
        <v>0</v>
      </c>
      <c r="AZ75">
        <f t="shared" si="82"/>
        <v>312.7018324</v>
      </c>
      <c r="BB75" s="21"/>
      <c r="BC75" s="4" t="s">
        <v>30</v>
      </c>
      <c r="BD75" s="1">
        <f t="shared" si="42"/>
        <v>7.2292005536405498E-7</v>
      </c>
      <c r="BE75" s="1">
        <f t="shared" si="41"/>
        <v>3.4228416331792564E-7</v>
      </c>
      <c r="BF75" s="1">
        <f t="shared" si="43"/>
        <v>2.3277408762698005E-6</v>
      </c>
      <c r="BG75" s="1">
        <f t="shared" si="44"/>
        <v>1.2330233631969282E-7</v>
      </c>
      <c r="BH75" s="1">
        <f t="shared" si="45"/>
        <v>2.6715483851960535E-7</v>
      </c>
      <c r="BI75" s="1">
        <f t="shared" si="46"/>
        <v>8.9649146263628759E-8</v>
      </c>
      <c r="BJ75" s="1">
        <f t="shared" si="47"/>
        <v>4.2443925859649136E-7</v>
      </c>
      <c r="BK75" s="1">
        <f t="shared" si="48"/>
        <v>2.9654403957433076E-7</v>
      </c>
      <c r="BL75" s="1">
        <f t="shared" si="49"/>
        <v>1.5593787835416288E-7</v>
      </c>
      <c r="BM75" s="1">
        <f t="shared" si="50"/>
        <v>2.3812103633707294E-7</v>
      </c>
      <c r="BN75" s="1">
        <f t="shared" si="51"/>
        <v>6.1563143539907023E-7</v>
      </c>
      <c r="BO75" s="1">
        <f t="shared" si="52"/>
        <v>4.342580820169504E-7</v>
      </c>
      <c r="BP75" s="1">
        <f t="shared" si="53"/>
        <v>3.2295684380184454E-6</v>
      </c>
      <c r="BQ75" s="1">
        <f t="shared" si="54"/>
        <v>3.9424452688416763E-6</v>
      </c>
      <c r="BR75" s="1">
        <f t="shared" si="55"/>
        <v>8.2028921468908391E-7</v>
      </c>
      <c r="BS75" s="1">
        <f t="shared" si="56"/>
        <v>8.309485983230705E-7</v>
      </c>
      <c r="BT75" s="1">
        <f t="shared" si="57"/>
        <v>1.1978120730782618E-4</v>
      </c>
      <c r="BU75" s="1">
        <f t="shared" si="58"/>
        <v>1.1106839243948183E-6</v>
      </c>
      <c r="BV75" s="1">
        <f t="shared" si="59"/>
        <v>7.5902647597563326E-8</v>
      </c>
      <c r="BW75" s="1">
        <f t="shared" si="60"/>
        <v>9.2323471935255042E-7</v>
      </c>
      <c r="BX75" s="1">
        <f t="shared" si="61"/>
        <v>4.7800886554518406E-7</v>
      </c>
      <c r="BY75" s="1">
        <f t="shared" si="62"/>
        <v>5.4391610656864121E-8</v>
      </c>
      <c r="BZ75" s="1">
        <f t="shared" si="63"/>
        <v>1.4393019129644432E-7</v>
      </c>
      <c r="CA75" s="1">
        <f t="shared" si="64"/>
        <v>3.3818611270734056E-7</v>
      </c>
      <c r="CB75" s="1">
        <f t="shared" si="65"/>
        <v>4.9642300362349918E-5</v>
      </c>
      <c r="CC75" s="1">
        <f t="shared" si="66"/>
        <v>1.6926121214212052E-5</v>
      </c>
      <c r="CD75" s="1">
        <f t="shared" si="67"/>
        <v>5.0967474641510879E-6</v>
      </c>
      <c r="CE75" s="1">
        <f t="shared" si="68"/>
        <v>3.1032406576701662E-7</v>
      </c>
      <c r="CF75" s="1">
        <f t="shared" si="69"/>
        <v>4.5066423201472227E-7</v>
      </c>
      <c r="CG75" s="1">
        <f t="shared" si="70"/>
        <v>2.0794954375166346E-6</v>
      </c>
      <c r="CH75" s="1">
        <f t="shared" si="71"/>
        <v>3.3085499642965879E-3</v>
      </c>
      <c r="CI75" s="1">
        <f t="shared" si="72"/>
        <v>1.0179707715191702E-4</v>
      </c>
      <c r="CJ75" s="1">
        <f t="shared" si="73"/>
        <v>7.6045750160641636E-7</v>
      </c>
      <c r="CK75" s="1">
        <f t="shared" si="74"/>
        <v>1.2538115324836109E-4</v>
      </c>
      <c r="CL75" s="1">
        <f t="shared" si="75"/>
        <v>1.4666057346333399E-5</v>
      </c>
      <c r="CM75" s="1">
        <f t="shared" si="76"/>
        <v>6.8199179410125037E-5</v>
      </c>
      <c r="CN75" s="1">
        <f t="shared" si="77"/>
        <v>4.0840244476163858E-7</v>
      </c>
      <c r="CO75" s="1">
        <f t="shared" si="78"/>
        <v>4.9258044497776905E-7</v>
      </c>
      <c r="CP75" s="1">
        <f t="shared" si="79"/>
        <v>5.3527738462957068E-6</v>
      </c>
      <c r="CQ75" s="1">
        <f t="shared" si="80"/>
        <v>1.3555052923182835E-6</v>
      </c>
      <c r="CR75" s="1">
        <f t="shared" si="81"/>
        <v>4.0842729178191087E-5</v>
      </c>
      <c r="CS75" s="25">
        <f t="shared" si="40"/>
        <v>2.3834024295469776E-6</v>
      </c>
    </row>
    <row r="76" spans="1:97" x14ac:dyDescent="0.25">
      <c r="A76" s="14"/>
      <c r="B76" s="11"/>
      <c r="C76" t="s">
        <v>31</v>
      </c>
      <c r="D76">
        <v>5.0304139999999997E-2</v>
      </c>
      <c r="E76">
        <v>0.98147744999999997</v>
      </c>
      <c r="F76">
        <v>3.4220970000000003E-2</v>
      </c>
      <c r="G76">
        <v>0.66758410999999995</v>
      </c>
      <c r="H76">
        <v>0.28563105</v>
      </c>
      <c r="I76">
        <v>0.21749737999999999</v>
      </c>
      <c r="J76">
        <v>0.28261720000000001</v>
      </c>
      <c r="K76">
        <v>0.36113654000000001</v>
      </c>
      <c r="L76">
        <v>0.45539457999999999</v>
      </c>
      <c r="M76">
        <v>2.2242292300000002</v>
      </c>
      <c r="N76">
        <v>1.9188739800000001</v>
      </c>
      <c r="O76">
        <v>0.53503714999999996</v>
      </c>
      <c r="P76">
        <v>0.56419587000000004</v>
      </c>
      <c r="Q76">
        <v>0.49605842999999999</v>
      </c>
      <c r="R76">
        <v>0.69411718</v>
      </c>
      <c r="S76">
        <v>0.91990481000000002</v>
      </c>
      <c r="T76">
        <v>0.80219518999999995</v>
      </c>
      <c r="U76">
        <v>0.14725315999999999</v>
      </c>
      <c r="V76">
        <v>0.14286213</v>
      </c>
      <c r="W76">
        <v>6.6717780000000004E-2</v>
      </c>
      <c r="X76">
        <v>0.45622868999999999</v>
      </c>
      <c r="Y76">
        <v>2.2147199999999999E-2</v>
      </c>
      <c r="Z76">
        <v>3.4123899999999999E-2</v>
      </c>
      <c r="AA76">
        <v>2.63828218</v>
      </c>
      <c r="AB76">
        <v>2.5800960700000002</v>
      </c>
      <c r="AC76">
        <v>3.3229068499999999</v>
      </c>
      <c r="AD76">
        <v>8.0046839999999994E-2</v>
      </c>
      <c r="AE76">
        <v>0.21505827</v>
      </c>
      <c r="AF76">
        <v>0.13300037000000001</v>
      </c>
      <c r="AG76">
        <v>4.6152079999999998E-2</v>
      </c>
      <c r="AH76">
        <v>0.47524411999999999</v>
      </c>
      <c r="AI76">
        <v>24.48854081</v>
      </c>
      <c r="AJ76">
        <v>1.11043084</v>
      </c>
      <c r="AK76">
        <v>8.9111364200000001</v>
      </c>
      <c r="AL76">
        <v>4.3755540000000002E-2</v>
      </c>
      <c r="AM76">
        <v>1.60043727</v>
      </c>
      <c r="AN76">
        <v>0.97767872</v>
      </c>
      <c r="AO76">
        <v>0.13505590000000001</v>
      </c>
      <c r="AP76">
        <v>8.0679039999999994E-2</v>
      </c>
      <c r="AQ76">
        <v>1.801299E-2</v>
      </c>
      <c r="AR76">
        <v>8.2763390000000006E-2</v>
      </c>
      <c r="AS76">
        <v>0.52506960000000003</v>
      </c>
      <c r="AT76" s="4">
        <v>0</v>
      </c>
      <c r="AU76">
        <v>0</v>
      </c>
      <c r="AV76">
        <v>42.354318849999999</v>
      </c>
      <c r="AW76">
        <v>42.354318849999999</v>
      </c>
      <c r="AX76">
        <v>0</v>
      </c>
      <c r="AY76" s="4">
        <v>0</v>
      </c>
      <c r="AZ76">
        <f t="shared" si="82"/>
        <v>102.17847426999998</v>
      </c>
      <c r="BB76" s="21"/>
      <c r="BC76" s="4" t="s">
        <v>31</v>
      </c>
      <c r="BD76" s="1">
        <f t="shared" si="42"/>
        <v>4.1815713631424758E-5</v>
      </c>
      <c r="BE76" s="1">
        <f t="shared" si="41"/>
        <v>1.3365114747777531E-4</v>
      </c>
      <c r="BF76" s="1">
        <f t="shared" si="43"/>
        <v>4.033457086596043E-5</v>
      </c>
      <c r="BG76" s="1">
        <f t="shared" si="44"/>
        <v>5.8196773555876462E-5</v>
      </c>
      <c r="BH76" s="1">
        <f t="shared" si="45"/>
        <v>9.3256076355846955E-5</v>
      </c>
      <c r="BI76" s="1">
        <f t="shared" si="46"/>
        <v>6.4802600390760892E-5</v>
      </c>
      <c r="BJ76" s="1">
        <f t="shared" si="47"/>
        <v>9.6962949806093501E-5</v>
      </c>
      <c r="BK76" s="1">
        <f t="shared" si="48"/>
        <v>7.9582138835464987E-5</v>
      </c>
      <c r="BL76" s="1">
        <f t="shared" si="49"/>
        <v>8.0691389927033496E-5</v>
      </c>
      <c r="BM76" s="1">
        <f t="shared" si="50"/>
        <v>1.242500620032585E-4</v>
      </c>
      <c r="BN76" s="1">
        <f t="shared" si="51"/>
        <v>1.2612818920494797E-4</v>
      </c>
      <c r="BO76" s="1">
        <f t="shared" si="52"/>
        <v>8.0286185513507615E-5</v>
      </c>
      <c r="BP76" s="1">
        <f t="shared" si="53"/>
        <v>8.2852669979317995E-5</v>
      </c>
      <c r="BQ76" s="1">
        <f t="shared" si="54"/>
        <v>9.7948714361253411E-5</v>
      </c>
      <c r="BR76" s="1">
        <f t="shared" si="55"/>
        <v>5.6351292102818221E-5</v>
      </c>
      <c r="BS76" s="1">
        <f t="shared" si="56"/>
        <v>8.0860831513154333E-5</v>
      </c>
      <c r="BT76" s="1">
        <f t="shared" si="57"/>
        <v>5.2463695511626322E-5</v>
      </c>
      <c r="BU76" s="1">
        <f t="shared" si="58"/>
        <v>1.1005579620769949E-4</v>
      </c>
      <c r="BV76" s="1">
        <f t="shared" si="59"/>
        <v>7.9920503452441622E-5</v>
      </c>
      <c r="BW76" s="1">
        <f t="shared" si="60"/>
        <v>1.3500530606931551E-4</v>
      </c>
      <c r="BX76" s="1">
        <f t="shared" si="61"/>
        <v>4.5542824259018074E-5</v>
      </c>
      <c r="BY76" s="1">
        <f t="shared" si="62"/>
        <v>1.0476794916852506E-5</v>
      </c>
      <c r="BZ76" s="1">
        <f t="shared" si="63"/>
        <v>5.7383566477167145E-5</v>
      </c>
      <c r="CA76" s="1">
        <f t="shared" si="64"/>
        <v>8.5461126155678027E-5</v>
      </c>
      <c r="CB76" s="1">
        <f t="shared" si="65"/>
        <v>1.4000640193001618E-4</v>
      </c>
      <c r="CC76" s="1">
        <f t="shared" si="66"/>
        <v>2.0919561131472737E-4</v>
      </c>
      <c r="CD76" s="1">
        <f t="shared" si="67"/>
        <v>1.233208450652918E-5</v>
      </c>
      <c r="CE76" s="1">
        <f t="shared" si="68"/>
        <v>1.3459561818094343E-5</v>
      </c>
      <c r="CF76" s="1">
        <f t="shared" si="69"/>
        <v>3.5891752957355122E-5</v>
      </c>
      <c r="CG76" s="1">
        <f t="shared" si="70"/>
        <v>2.8029918600418444E-5</v>
      </c>
      <c r="CH76" s="1">
        <f t="shared" si="71"/>
        <v>2.8354244883755286E-5</v>
      </c>
      <c r="CI76" s="1">
        <f t="shared" si="72"/>
        <v>1.9262965359864944E-3</v>
      </c>
      <c r="CJ76" s="1">
        <f t="shared" si="73"/>
        <v>9.0016369658499489E-5</v>
      </c>
      <c r="CK76" s="1">
        <f t="shared" si="74"/>
        <v>6.0505417770200833E-4</v>
      </c>
      <c r="CL76" s="1">
        <f t="shared" si="75"/>
        <v>1.4311864735163108E-5</v>
      </c>
      <c r="CM76" s="1">
        <f t="shared" si="76"/>
        <v>2.3555208338442042E-4</v>
      </c>
      <c r="CN76" s="1">
        <f t="shared" si="77"/>
        <v>6.4976384345157858E-4</v>
      </c>
      <c r="CO76" s="1">
        <f t="shared" si="78"/>
        <v>2.7421937798637713E-5</v>
      </c>
      <c r="CP76" s="1">
        <f t="shared" si="79"/>
        <v>1.2710215820354608E-5</v>
      </c>
      <c r="CQ76" s="1">
        <f t="shared" si="80"/>
        <v>2.8604217730069904E-6</v>
      </c>
      <c r="CR76" s="1">
        <f t="shared" si="81"/>
        <v>3.5915411232009224E-5</v>
      </c>
      <c r="CS76" s="25">
        <f t="shared" si="40"/>
        <v>5.2465365260155136E-5</v>
      </c>
    </row>
    <row r="77" spans="1:97" x14ac:dyDescent="0.25">
      <c r="A77" s="14"/>
      <c r="B77" s="11"/>
      <c r="C77" t="s">
        <v>32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s="4">
        <v>0</v>
      </c>
      <c r="AU77">
        <v>0</v>
      </c>
      <c r="AV77">
        <v>0</v>
      </c>
      <c r="AW77">
        <v>0</v>
      </c>
      <c r="AX77">
        <v>0</v>
      </c>
      <c r="AY77" s="4">
        <v>0</v>
      </c>
      <c r="AZ77">
        <f t="shared" si="82"/>
        <v>0</v>
      </c>
      <c r="BB77" s="21"/>
      <c r="BC77" s="4" t="s">
        <v>32</v>
      </c>
      <c r="BD77" s="1">
        <f t="shared" si="42"/>
        <v>0</v>
      </c>
      <c r="BE77" s="1">
        <f t="shared" si="41"/>
        <v>0</v>
      </c>
      <c r="BF77" s="1">
        <f t="shared" si="43"/>
        <v>0</v>
      </c>
      <c r="BG77" s="1">
        <f t="shared" si="44"/>
        <v>0</v>
      </c>
      <c r="BH77" s="1">
        <f t="shared" si="45"/>
        <v>0</v>
      </c>
      <c r="BI77" s="1">
        <f t="shared" si="46"/>
        <v>0</v>
      </c>
      <c r="BJ77" s="1">
        <f t="shared" si="47"/>
        <v>0</v>
      </c>
      <c r="BK77" s="1">
        <f t="shared" si="48"/>
        <v>0</v>
      </c>
      <c r="BL77" s="1">
        <f t="shared" si="49"/>
        <v>0</v>
      </c>
      <c r="BM77" s="1">
        <f t="shared" si="50"/>
        <v>0</v>
      </c>
      <c r="BN77" s="1">
        <f t="shared" si="51"/>
        <v>0</v>
      </c>
      <c r="BO77" s="1">
        <f t="shared" si="52"/>
        <v>0</v>
      </c>
      <c r="BP77" s="1">
        <f t="shared" si="53"/>
        <v>0</v>
      </c>
      <c r="BQ77" s="1">
        <f t="shared" si="54"/>
        <v>0</v>
      </c>
      <c r="BR77" s="1">
        <f t="shared" si="55"/>
        <v>0</v>
      </c>
      <c r="BS77" s="1">
        <f t="shared" si="56"/>
        <v>0</v>
      </c>
      <c r="BT77" s="1">
        <f t="shared" si="57"/>
        <v>0</v>
      </c>
      <c r="BU77" s="1">
        <f t="shared" si="58"/>
        <v>0</v>
      </c>
      <c r="BV77" s="1">
        <f t="shared" si="59"/>
        <v>0</v>
      </c>
      <c r="BW77" s="1">
        <f t="shared" si="60"/>
        <v>0</v>
      </c>
      <c r="BX77" s="1">
        <f t="shared" si="61"/>
        <v>0</v>
      </c>
      <c r="BY77" s="1">
        <f t="shared" si="62"/>
        <v>0</v>
      </c>
      <c r="BZ77" s="1">
        <f t="shared" si="63"/>
        <v>0</v>
      </c>
      <c r="CA77" s="1">
        <f t="shared" si="64"/>
        <v>0</v>
      </c>
      <c r="CB77" s="1">
        <f t="shared" si="65"/>
        <v>0</v>
      </c>
      <c r="CC77" s="1">
        <f t="shared" si="66"/>
        <v>0</v>
      </c>
      <c r="CD77" s="1">
        <f t="shared" si="67"/>
        <v>0</v>
      </c>
      <c r="CE77" s="1">
        <f t="shared" si="68"/>
        <v>0</v>
      </c>
      <c r="CF77" s="1">
        <f t="shared" si="69"/>
        <v>0</v>
      </c>
      <c r="CG77" s="1">
        <f t="shared" si="70"/>
        <v>0</v>
      </c>
      <c r="CH77" s="1">
        <f t="shared" si="71"/>
        <v>0</v>
      </c>
      <c r="CI77" s="1">
        <f t="shared" si="72"/>
        <v>0</v>
      </c>
      <c r="CJ77" s="1">
        <f t="shared" si="73"/>
        <v>0</v>
      </c>
      <c r="CK77" s="1">
        <f t="shared" si="74"/>
        <v>0</v>
      </c>
      <c r="CL77" s="1">
        <f t="shared" si="75"/>
        <v>0</v>
      </c>
      <c r="CM77" s="1">
        <f t="shared" si="76"/>
        <v>0</v>
      </c>
      <c r="CN77" s="1">
        <f t="shared" si="77"/>
        <v>0</v>
      </c>
      <c r="CO77" s="1">
        <f t="shared" si="78"/>
        <v>0</v>
      </c>
      <c r="CP77" s="1">
        <f t="shared" si="79"/>
        <v>0</v>
      </c>
      <c r="CQ77" s="1">
        <f t="shared" si="80"/>
        <v>0</v>
      </c>
      <c r="CR77" s="1">
        <f t="shared" si="81"/>
        <v>0</v>
      </c>
      <c r="CS77" s="25">
        <f t="shared" si="40"/>
        <v>0</v>
      </c>
    </row>
    <row r="78" spans="1:97" x14ac:dyDescent="0.25">
      <c r="A78" s="14"/>
      <c r="B78" s="11"/>
      <c r="C78" t="s">
        <v>33</v>
      </c>
      <c r="D78">
        <v>0.23897983</v>
      </c>
      <c r="E78">
        <v>7.3622613799999996</v>
      </c>
      <c r="F78">
        <v>0.19699912</v>
      </c>
      <c r="G78">
        <v>11.216221969999999</v>
      </c>
      <c r="H78">
        <v>1.7893957199999999</v>
      </c>
      <c r="I78">
        <v>3.3390632999999998</v>
      </c>
      <c r="J78">
        <v>2.83764189</v>
      </c>
      <c r="K78">
        <v>4.3857010000000001</v>
      </c>
      <c r="L78">
        <v>2.9845021799999998</v>
      </c>
      <c r="M78">
        <v>19.988341219999999</v>
      </c>
      <c r="N78">
        <v>11.261285600000001</v>
      </c>
      <c r="O78">
        <v>6.5919586800000003</v>
      </c>
      <c r="P78">
        <v>8.0659684800000004</v>
      </c>
      <c r="Q78">
        <v>6.49214015</v>
      </c>
      <c r="R78">
        <v>20.232222749999998</v>
      </c>
      <c r="S78">
        <v>15.830321</v>
      </c>
      <c r="T78">
        <v>10.50098726</v>
      </c>
      <c r="U78">
        <v>1.41015439</v>
      </c>
      <c r="V78">
        <v>0.98592581999999995</v>
      </c>
      <c r="W78">
        <v>0.84778664999999997</v>
      </c>
      <c r="X78">
        <v>0.77202225999999996</v>
      </c>
      <c r="Y78">
        <v>0.1791616</v>
      </c>
      <c r="Z78">
        <v>0.21933538</v>
      </c>
      <c r="AA78">
        <v>3.0632965799999998</v>
      </c>
      <c r="AB78">
        <v>47.291552830000001</v>
      </c>
      <c r="AC78">
        <v>10.00954432</v>
      </c>
      <c r="AD78">
        <v>3.1551135000000001</v>
      </c>
      <c r="AE78">
        <v>0.65888548000000002</v>
      </c>
      <c r="AF78">
        <v>0.61333451999999999</v>
      </c>
      <c r="AG78">
        <v>0.14820700000000001</v>
      </c>
      <c r="AH78">
        <v>42.590518969999998</v>
      </c>
      <c r="AI78">
        <v>4.15936197</v>
      </c>
      <c r="AJ78">
        <v>4.1337392800000003</v>
      </c>
      <c r="AK78">
        <v>82.038912420000003</v>
      </c>
      <c r="AL78">
        <v>1.5141492599999999</v>
      </c>
      <c r="AM78">
        <v>18.870481810000001</v>
      </c>
      <c r="AN78">
        <v>0.3808183</v>
      </c>
      <c r="AO78">
        <v>3.20862684</v>
      </c>
      <c r="AP78">
        <v>2.1601416699999998</v>
      </c>
      <c r="AQ78">
        <v>0.59143835</v>
      </c>
      <c r="AR78">
        <v>7.3621903199999998</v>
      </c>
      <c r="AS78">
        <v>8.8328065500000008</v>
      </c>
      <c r="AT78" s="4">
        <v>0</v>
      </c>
      <c r="AU78">
        <v>0</v>
      </c>
      <c r="AV78">
        <v>10.974567670000001</v>
      </c>
      <c r="AW78">
        <v>10.974567670000001</v>
      </c>
      <c r="AX78">
        <v>0</v>
      </c>
      <c r="AY78" s="4">
        <v>0</v>
      </c>
      <c r="AZ78">
        <f t="shared" si="82"/>
        <v>389.48606526999998</v>
      </c>
      <c r="BB78" s="21"/>
      <c r="BC78" s="4" t="s">
        <v>33</v>
      </c>
      <c r="BD78" s="1">
        <f t="shared" si="42"/>
        <v>1.9865387093321888E-4</v>
      </c>
      <c r="BE78" s="1">
        <f t="shared" si="41"/>
        <v>1.0025443594942598E-3</v>
      </c>
      <c r="BF78" s="1">
        <f t="shared" si="43"/>
        <v>2.3219315426102304E-4</v>
      </c>
      <c r="BG78" s="1">
        <f t="shared" si="44"/>
        <v>9.7777631367010321E-4</v>
      </c>
      <c r="BH78" s="1">
        <f t="shared" si="45"/>
        <v>5.842222821893689E-4</v>
      </c>
      <c r="BI78" s="1">
        <f t="shared" si="46"/>
        <v>9.9486248850149533E-4</v>
      </c>
      <c r="BJ78" s="1">
        <f t="shared" si="47"/>
        <v>9.7356469509901828E-4</v>
      </c>
      <c r="BK78" s="1">
        <f t="shared" si="48"/>
        <v>9.6645846436042621E-4</v>
      </c>
      <c r="BL78" s="1">
        <f t="shared" si="49"/>
        <v>5.2882410050743582E-4</v>
      </c>
      <c r="BM78" s="1">
        <f t="shared" si="50"/>
        <v>1.1165902337895665E-3</v>
      </c>
      <c r="BN78" s="1">
        <f t="shared" si="51"/>
        <v>7.402078383739177E-4</v>
      </c>
      <c r="BO78" s="1">
        <f t="shared" si="52"/>
        <v>9.8917097154815675E-4</v>
      </c>
      <c r="BP78" s="1">
        <f t="shared" si="53"/>
        <v>1.1844947119818887E-3</v>
      </c>
      <c r="BQ78" s="1">
        <f t="shared" si="54"/>
        <v>1.2818989511892275E-3</v>
      </c>
      <c r="BR78" s="1">
        <f t="shared" si="55"/>
        <v>1.6425351899149565E-3</v>
      </c>
      <c r="BS78" s="1">
        <f t="shared" si="56"/>
        <v>1.391505844153754E-3</v>
      </c>
      <c r="BT78" s="1">
        <f t="shared" si="57"/>
        <v>6.8676626966574959E-4</v>
      </c>
      <c r="BU78" s="1">
        <f t="shared" si="58"/>
        <v>1.0539377502474839E-3</v>
      </c>
      <c r="BV78" s="1">
        <f t="shared" si="59"/>
        <v>5.51550560678056E-4</v>
      </c>
      <c r="BW78" s="1">
        <f t="shared" si="60"/>
        <v>1.71552015316951E-3</v>
      </c>
      <c r="BX78" s="1">
        <f t="shared" si="61"/>
        <v>7.7066775680481554E-5</v>
      </c>
      <c r="BY78" s="1">
        <f t="shared" si="62"/>
        <v>8.4752896085065461E-5</v>
      </c>
      <c r="BZ78" s="1">
        <f t="shared" si="63"/>
        <v>3.6883962146837604E-4</v>
      </c>
      <c r="CA78" s="1">
        <f t="shared" si="64"/>
        <v>9.9228497035005187E-5</v>
      </c>
      <c r="CB78" s="1">
        <f t="shared" si="65"/>
        <v>2.5662300835997839E-3</v>
      </c>
      <c r="CC78" s="1">
        <f t="shared" si="66"/>
        <v>6.3015691908554616E-4</v>
      </c>
      <c r="CD78" s="1">
        <f t="shared" si="67"/>
        <v>4.8607947933598702E-4</v>
      </c>
      <c r="CE78" s="1">
        <f t="shared" si="68"/>
        <v>4.1236776661063834E-5</v>
      </c>
      <c r="CF78" s="1">
        <f t="shared" si="69"/>
        <v>1.6551571301687344E-4</v>
      </c>
      <c r="CG78" s="1">
        <f t="shared" si="70"/>
        <v>9.001176428044449E-5</v>
      </c>
      <c r="CH78" s="1">
        <f t="shared" si="71"/>
        <v>2.5410561725658066E-3</v>
      </c>
      <c r="CI78" s="1">
        <f t="shared" si="72"/>
        <v>3.2718015405201929E-4</v>
      </c>
      <c r="CJ78" s="1">
        <f t="shared" si="73"/>
        <v>3.3509894510885482E-4</v>
      </c>
      <c r="CK78" s="1">
        <f t="shared" si="74"/>
        <v>5.5703318133973959E-3</v>
      </c>
      <c r="CL78" s="1">
        <f t="shared" si="75"/>
        <v>4.9525841523078709E-4</v>
      </c>
      <c r="CM78" s="1">
        <f t="shared" si="76"/>
        <v>2.7773542819415275E-3</v>
      </c>
      <c r="CN78" s="1">
        <f t="shared" si="77"/>
        <v>2.530912836731235E-4</v>
      </c>
      <c r="CO78" s="1">
        <f t="shared" si="78"/>
        <v>6.5148405679070281E-4</v>
      </c>
      <c r="CP78" s="1">
        <f t="shared" si="79"/>
        <v>3.4030978589037774E-4</v>
      </c>
      <c r="CQ78" s="1">
        <f t="shared" si="80"/>
        <v>9.3919062506076385E-5</v>
      </c>
      <c r="CR78" s="1">
        <f t="shared" si="81"/>
        <v>3.1948436731641557E-3</v>
      </c>
      <c r="CS78" s="25">
        <f t="shared" si="40"/>
        <v>8.8258094149431003E-4</v>
      </c>
    </row>
    <row r="79" spans="1:97" x14ac:dyDescent="0.25">
      <c r="A79" s="14"/>
      <c r="B79" s="11"/>
      <c r="C79" t="s">
        <v>34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 s="4">
        <v>312.58898531</v>
      </c>
      <c r="AU79">
        <v>0</v>
      </c>
      <c r="AV79">
        <v>312.58898531</v>
      </c>
      <c r="AW79">
        <v>0</v>
      </c>
      <c r="AX79">
        <v>0</v>
      </c>
      <c r="AY79" s="4">
        <v>0</v>
      </c>
      <c r="AZ79">
        <f t="shared" si="82"/>
        <v>312.58898531</v>
      </c>
      <c r="BB79" s="21"/>
      <c r="BC79" s="4" t="s">
        <v>34</v>
      </c>
      <c r="BD79" s="1">
        <f t="shared" si="42"/>
        <v>0</v>
      </c>
      <c r="BE79" s="1">
        <f t="shared" si="41"/>
        <v>0</v>
      </c>
      <c r="BF79" s="1">
        <f t="shared" si="43"/>
        <v>0</v>
      </c>
      <c r="BG79" s="1">
        <f t="shared" si="44"/>
        <v>0</v>
      </c>
      <c r="BH79" s="1">
        <f t="shared" si="45"/>
        <v>0</v>
      </c>
      <c r="BI79" s="1">
        <f t="shared" si="46"/>
        <v>0</v>
      </c>
      <c r="BJ79" s="1">
        <f t="shared" si="47"/>
        <v>0</v>
      </c>
      <c r="BK79" s="1">
        <f t="shared" si="48"/>
        <v>0</v>
      </c>
      <c r="BL79" s="1">
        <f t="shared" si="49"/>
        <v>0</v>
      </c>
      <c r="BM79" s="1">
        <f t="shared" si="50"/>
        <v>0</v>
      </c>
      <c r="BN79" s="1">
        <f t="shared" si="51"/>
        <v>0</v>
      </c>
      <c r="BO79" s="1">
        <f t="shared" si="52"/>
        <v>0</v>
      </c>
      <c r="BP79" s="1">
        <f t="shared" si="53"/>
        <v>0</v>
      </c>
      <c r="BQ79" s="1">
        <f t="shared" si="54"/>
        <v>0</v>
      </c>
      <c r="BR79" s="1">
        <f t="shared" si="55"/>
        <v>0</v>
      </c>
      <c r="BS79" s="1">
        <f t="shared" si="56"/>
        <v>0</v>
      </c>
      <c r="BT79" s="1">
        <f t="shared" si="57"/>
        <v>0</v>
      </c>
      <c r="BU79" s="1">
        <f t="shared" si="58"/>
        <v>0</v>
      </c>
      <c r="BV79" s="1">
        <f t="shared" si="59"/>
        <v>0</v>
      </c>
      <c r="BW79" s="1">
        <f t="shared" si="60"/>
        <v>0</v>
      </c>
      <c r="BX79" s="1">
        <f t="shared" si="61"/>
        <v>0</v>
      </c>
      <c r="BY79" s="1">
        <f t="shared" si="62"/>
        <v>0</v>
      </c>
      <c r="BZ79" s="1">
        <f t="shared" si="63"/>
        <v>0</v>
      </c>
      <c r="CA79" s="1">
        <f t="shared" si="64"/>
        <v>0</v>
      </c>
      <c r="CB79" s="1">
        <f t="shared" si="65"/>
        <v>0</v>
      </c>
      <c r="CC79" s="1">
        <f t="shared" si="66"/>
        <v>0</v>
      </c>
      <c r="CD79" s="1">
        <f t="shared" si="67"/>
        <v>0</v>
      </c>
      <c r="CE79" s="1">
        <f t="shared" si="68"/>
        <v>0</v>
      </c>
      <c r="CF79" s="1">
        <f t="shared" si="69"/>
        <v>0</v>
      </c>
      <c r="CG79" s="1">
        <f t="shared" si="70"/>
        <v>0</v>
      </c>
      <c r="CH79" s="1">
        <f t="shared" si="71"/>
        <v>0</v>
      </c>
      <c r="CI79" s="1">
        <f t="shared" si="72"/>
        <v>0</v>
      </c>
      <c r="CJ79" s="1">
        <f t="shared" si="73"/>
        <v>0</v>
      </c>
      <c r="CK79" s="1">
        <f t="shared" si="74"/>
        <v>0</v>
      </c>
      <c r="CL79" s="1">
        <f t="shared" si="75"/>
        <v>0</v>
      </c>
      <c r="CM79" s="1">
        <f t="shared" si="76"/>
        <v>0</v>
      </c>
      <c r="CN79" s="1">
        <f t="shared" si="77"/>
        <v>0</v>
      </c>
      <c r="CO79" s="1">
        <f t="shared" si="78"/>
        <v>0</v>
      </c>
      <c r="CP79" s="1">
        <f t="shared" si="79"/>
        <v>0</v>
      </c>
      <c r="CQ79" s="1">
        <f t="shared" si="80"/>
        <v>0</v>
      </c>
      <c r="CR79" s="1">
        <f t="shared" si="81"/>
        <v>0</v>
      </c>
      <c r="CS79" s="25">
        <f t="shared" si="40"/>
        <v>0</v>
      </c>
    </row>
    <row r="80" spans="1:97" x14ac:dyDescent="0.25">
      <c r="A80" s="14"/>
      <c r="B80" s="11"/>
      <c r="C80" t="s">
        <v>35</v>
      </c>
      <c r="D80">
        <v>0</v>
      </c>
      <c r="E80">
        <v>1.17E-6</v>
      </c>
      <c r="F80">
        <v>4.0000000000000001E-8</v>
      </c>
      <c r="G80">
        <v>1.3E-7</v>
      </c>
      <c r="H80">
        <v>1.4999999999999999E-7</v>
      </c>
      <c r="I80">
        <v>4.8999999999999997E-6</v>
      </c>
      <c r="J80">
        <v>8.6000000000000002E-7</v>
      </c>
      <c r="K80">
        <v>3.8000000000000001E-7</v>
      </c>
      <c r="L80">
        <v>0</v>
      </c>
      <c r="M80">
        <v>1.81E-6</v>
      </c>
      <c r="N80">
        <v>2.3999999999999998E-7</v>
      </c>
      <c r="O80">
        <v>3.1599999999999998E-6</v>
      </c>
      <c r="P80">
        <v>3.2799999999999999E-6</v>
      </c>
      <c r="Q80">
        <v>4.5900000000000001E-6</v>
      </c>
      <c r="R80">
        <v>2.5680000000000001E-5</v>
      </c>
      <c r="S80">
        <v>1.431E-5</v>
      </c>
      <c r="T80">
        <v>1.17E-6</v>
      </c>
      <c r="U80">
        <v>2.1600000000000001E-6</v>
      </c>
      <c r="V80">
        <v>3.4999999999999998E-7</v>
      </c>
      <c r="W80">
        <v>2.3999999999999998E-7</v>
      </c>
      <c r="X80">
        <v>2.9999999999999999E-7</v>
      </c>
      <c r="Y80">
        <v>1E-8</v>
      </c>
      <c r="Z80">
        <v>1E-8</v>
      </c>
      <c r="AA80">
        <v>1.23645E-2</v>
      </c>
      <c r="AB80">
        <v>0</v>
      </c>
      <c r="AC80">
        <v>5.9999999999999995E-8</v>
      </c>
      <c r="AD80">
        <v>0</v>
      </c>
      <c r="AE80">
        <v>1.9910000000000001E-5</v>
      </c>
      <c r="AF80">
        <v>0</v>
      </c>
      <c r="AG80">
        <v>0</v>
      </c>
      <c r="AH80">
        <v>2.7700000000000002E-6</v>
      </c>
      <c r="AI80">
        <v>0</v>
      </c>
      <c r="AJ80">
        <v>0</v>
      </c>
      <c r="AK80">
        <v>0</v>
      </c>
      <c r="AL80">
        <v>4.9459999999999997E-5</v>
      </c>
      <c r="AM80">
        <v>2.5126100000000002E-3</v>
      </c>
      <c r="AN80">
        <v>0</v>
      </c>
      <c r="AO80">
        <v>0</v>
      </c>
      <c r="AP80">
        <v>0</v>
      </c>
      <c r="AQ80">
        <v>8.0000000000000002E-8</v>
      </c>
      <c r="AR80">
        <v>0</v>
      </c>
      <c r="AS80">
        <v>0</v>
      </c>
      <c r="AT80" s="4">
        <v>0</v>
      </c>
      <c r="AU80">
        <v>0</v>
      </c>
      <c r="AV80">
        <v>0</v>
      </c>
      <c r="AW80">
        <v>0</v>
      </c>
      <c r="AX80">
        <v>0</v>
      </c>
      <c r="AY80" s="4">
        <v>0</v>
      </c>
      <c r="AZ80">
        <f t="shared" si="82"/>
        <v>1.5014329999999998E-2</v>
      </c>
      <c r="BB80" s="21"/>
      <c r="BC80" s="4" t="s">
        <v>35</v>
      </c>
      <c r="BD80" s="1">
        <f t="shared" si="42"/>
        <v>0</v>
      </c>
      <c r="BE80" s="1">
        <f t="shared" si="41"/>
        <v>1.5932290909892743E-10</v>
      </c>
      <c r="BF80" s="1">
        <f t="shared" si="43"/>
        <v>4.7146028725615229E-11</v>
      </c>
      <c r="BG80" s="1">
        <f t="shared" si="44"/>
        <v>1.1332775074984845E-11</v>
      </c>
      <c r="BH80" s="1">
        <f t="shared" si="45"/>
        <v>4.8973707352113998E-11</v>
      </c>
      <c r="BI80" s="1">
        <f t="shared" si="46"/>
        <v>1.4599382388639731E-9</v>
      </c>
      <c r="BJ80" s="1">
        <f t="shared" si="47"/>
        <v>2.9505683600729327E-10</v>
      </c>
      <c r="BK80" s="1">
        <f t="shared" si="48"/>
        <v>8.3739000095301059E-11</v>
      </c>
      <c r="BL80" s="1">
        <f t="shared" si="49"/>
        <v>0</v>
      </c>
      <c r="BM80" s="1">
        <f t="shared" si="50"/>
        <v>1.0111035732854652E-10</v>
      </c>
      <c r="BN80" s="1">
        <f t="shared" si="51"/>
        <v>1.5775275356637809E-11</v>
      </c>
      <c r="BO80" s="1">
        <f t="shared" si="52"/>
        <v>4.7418080449681681E-10</v>
      </c>
      <c r="BP80" s="1">
        <f t="shared" si="53"/>
        <v>4.816709444047561E-10</v>
      </c>
      <c r="BQ80" s="1">
        <f t="shared" si="54"/>
        <v>9.0631379637707829E-10</v>
      </c>
      <c r="BR80" s="1">
        <f t="shared" si="55"/>
        <v>2.0848081893036735E-9</v>
      </c>
      <c r="BS80" s="1">
        <f t="shared" si="56"/>
        <v>1.2578676471462722E-9</v>
      </c>
      <c r="BT80" s="1">
        <f t="shared" si="57"/>
        <v>7.6518189729612817E-11</v>
      </c>
      <c r="BU80" s="1">
        <f t="shared" si="58"/>
        <v>1.6143661691785149E-9</v>
      </c>
      <c r="BV80" s="1">
        <f t="shared" si="59"/>
        <v>1.9579839813640302E-10</v>
      </c>
      <c r="BW80" s="1">
        <f t="shared" si="60"/>
        <v>4.856467564813415E-10</v>
      </c>
      <c r="BX80" s="1">
        <f t="shared" si="61"/>
        <v>2.9947365383149014E-11</v>
      </c>
      <c r="BY80" s="1">
        <f t="shared" si="62"/>
        <v>4.7305279750273201E-12</v>
      </c>
      <c r="BZ80" s="1">
        <f t="shared" si="63"/>
        <v>1.6816239198089068E-11</v>
      </c>
      <c r="CA80" s="1">
        <f t="shared" si="64"/>
        <v>4.0051974059570874E-7</v>
      </c>
      <c r="CB80" s="1">
        <f t="shared" si="65"/>
        <v>0</v>
      </c>
      <c r="CC80" s="1">
        <f t="shared" si="66"/>
        <v>3.777336303870101E-12</v>
      </c>
      <c r="CD80" s="1">
        <f t="shared" si="67"/>
        <v>0</v>
      </c>
      <c r="CE80" s="1">
        <f t="shared" si="68"/>
        <v>1.2460803102259606E-9</v>
      </c>
      <c r="CF80" s="1">
        <f t="shared" si="69"/>
        <v>0</v>
      </c>
      <c r="CG80" s="1">
        <f t="shared" si="70"/>
        <v>0</v>
      </c>
      <c r="CH80" s="1">
        <f t="shared" si="71"/>
        <v>1.6526508171842747E-10</v>
      </c>
      <c r="CI80" s="1">
        <f t="shared" si="72"/>
        <v>0</v>
      </c>
      <c r="CJ80" s="1">
        <f t="shared" si="73"/>
        <v>0</v>
      </c>
      <c r="CK80" s="1">
        <f t="shared" si="74"/>
        <v>0</v>
      </c>
      <c r="CL80" s="1">
        <f t="shared" si="75"/>
        <v>1.6177718976869381E-8</v>
      </c>
      <c r="CM80" s="1">
        <f t="shared" si="76"/>
        <v>3.6980550961083814E-7</v>
      </c>
      <c r="CN80" s="1">
        <f t="shared" si="77"/>
        <v>0</v>
      </c>
      <c r="CO80" s="1">
        <f t="shared" si="78"/>
        <v>0</v>
      </c>
      <c r="CP80" s="1">
        <f t="shared" si="79"/>
        <v>0</v>
      </c>
      <c r="CQ80" s="1">
        <f t="shared" si="80"/>
        <v>1.270381773600936E-11</v>
      </c>
      <c r="CR80" s="1">
        <f t="shared" si="81"/>
        <v>0</v>
      </c>
      <c r="CS80" s="25">
        <f t="shared" si="40"/>
        <v>0</v>
      </c>
    </row>
    <row r="81" spans="1:97" x14ac:dyDescent="0.25">
      <c r="A81" s="14"/>
      <c r="B81" s="11"/>
      <c r="C81" t="s">
        <v>36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 s="4">
        <v>0</v>
      </c>
      <c r="AU81">
        <v>0</v>
      </c>
      <c r="AV81">
        <v>41.469064400000001</v>
      </c>
      <c r="AW81">
        <v>41.469064400000001</v>
      </c>
      <c r="AX81">
        <v>0</v>
      </c>
      <c r="AY81" s="4">
        <v>0</v>
      </c>
      <c r="AZ81">
        <f t="shared" si="82"/>
        <v>41.469064400000001</v>
      </c>
      <c r="BB81" s="21"/>
      <c r="BC81" s="4" t="s">
        <v>36</v>
      </c>
      <c r="BD81" s="1">
        <f t="shared" si="42"/>
        <v>0</v>
      </c>
      <c r="BE81" s="1">
        <f t="shared" si="41"/>
        <v>0</v>
      </c>
      <c r="BF81" s="1">
        <f t="shared" si="43"/>
        <v>0</v>
      </c>
      <c r="BG81" s="1">
        <f t="shared" si="44"/>
        <v>0</v>
      </c>
      <c r="BH81" s="1">
        <f t="shared" si="45"/>
        <v>0</v>
      </c>
      <c r="BI81" s="1">
        <f t="shared" si="46"/>
        <v>0</v>
      </c>
      <c r="BJ81" s="1">
        <f t="shared" si="47"/>
        <v>0</v>
      </c>
      <c r="BK81" s="1">
        <f t="shared" si="48"/>
        <v>0</v>
      </c>
      <c r="BL81" s="1">
        <f t="shared" si="49"/>
        <v>0</v>
      </c>
      <c r="BM81" s="1">
        <f t="shared" si="50"/>
        <v>0</v>
      </c>
      <c r="BN81" s="1">
        <f t="shared" si="51"/>
        <v>0</v>
      </c>
      <c r="BO81" s="1">
        <f t="shared" si="52"/>
        <v>0</v>
      </c>
      <c r="BP81" s="1">
        <f t="shared" si="53"/>
        <v>0</v>
      </c>
      <c r="BQ81" s="1">
        <f t="shared" si="54"/>
        <v>0</v>
      </c>
      <c r="BR81" s="1">
        <f t="shared" si="55"/>
        <v>0</v>
      </c>
      <c r="BS81" s="1">
        <f t="shared" si="56"/>
        <v>0</v>
      </c>
      <c r="BT81" s="1">
        <f t="shared" si="57"/>
        <v>0</v>
      </c>
      <c r="BU81" s="1">
        <f t="shared" si="58"/>
        <v>0</v>
      </c>
      <c r="BV81" s="1">
        <f t="shared" si="59"/>
        <v>0</v>
      </c>
      <c r="BW81" s="1">
        <f t="shared" si="60"/>
        <v>0</v>
      </c>
      <c r="BX81" s="1">
        <f t="shared" si="61"/>
        <v>0</v>
      </c>
      <c r="BY81" s="1">
        <f t="shared" si="62"/>
        <v>0</v>
      </c>
      <c r="BZ81" s="1">
        <f t="shared" si="63"/>
        <v>0</v>
      </c>
      <c r="CA81" s="1">
        <f t="shared" si="64"/>
        <v>0</v>
      </c>
      <c r="CB81" s="1">
        <f t="shared" si="65"/>
        <v>0</v>
      </c>
      <c r="CC81" s="1">
        <f t="shared" si="66"/>
        <v>0</v>
      </c>
      <c r="CD81" s="1">
        <f t="shared" si="67"/>
        <v>0</v>
      </c>
      <c r="CE81" s="1">
        <f t="shared" si="68"/>
        <v>0</v>
      </c>
      <c r="CF81" s="1">
        <f t="shared" si="69"/>
        <v>0</v>
      </c>
      <c r="CG81" s="1">
        <f t="shared" si="70"/>
        <v>0</v>
      </c>
      <c r="CH81" s="1">
        <f t="shared" si="71"/>
        <v>0</v>
      </c>
      <c r="CI81" s="1">
        <f t="shared" si="72"/>
        <v>0</v>
      </c>
      <c r="CJ81" s="1">
        <f t="shared" si="73"/>
        <v>0</v>
      </c>
      <c r="CK81" s="1">
        <f t="shared" si="74"/>
        <v>0</v>
      </c>
      <c r="CL81" s="1">
        <f t="shared" si="75"/>
        <v>0</v>
      </c>
      <c r="CM81" s="1">
        <f t="shared" si="76"/>
        <v>0</v>
      </c>
      <c r="CN81" s="1">
        <f t="shared" si="77"/>
        <v>0</v>
      </c>
      <c r="CO81" s="1">
        <f t="shared" si="78"/>
        <v>0</v>
      </c>
      <c r="CP81" s="1">
        <f t="shared" si="79"/>
        <v>0</v>
      </c>
      <c r="CQ81" s="1">
        <f t="shared" si="80"/>
        <v>0</v>
      </c>
      <c r="CR81" s="1">
        <f t="shared" si="81"/>
        <v>0</v>
      </c>
      <c r="CS81" s="25">
        <f t="shared" si="40"/>
        <v>0</v>
      </c>
    </row>
    <row r="82" spans="1:97" x14ac:dyDescent="0.25">
      <c r="A82" s="14"/>
      <c r="B82" s="11"/>
      <c r="C82" t="s">
        <v>37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 s="4">
        <v>0</v>
      </c>
      <c r="AU82">
        <v>0</v>
      </c>
      <c r="AV82">
        <v>18.02414598</v>
      </c>
      <c r="AW82">
        <v>18.02414598</v>
      </c>
      <c r="AX82">
        <v>0</v>
      </c>
      <c r="AY82" s="4">
        <v>0</v>
      </c>
      <c r="AZ82">
        <f t="shared" si="82"/>
        <v>18.02414598</v>
      </c>
      <c r="BB82" s="21"/>
      <c r="BC82" s="4" t="s">
        <v>37</v>
      </c>
      <c r="BD82" s="1">
        <f t="shared" si="42"/>
        <v>0</v>
      </c>
      <c r="BE82" s="1">
        <f t="shared" si="41"/>
        <v>0</v>
      </c>
      <c r="BF82" s="1">
        <f t="shared" si="43"/>
        <v>0</v>
      </c>
      <c r="BG82" s="1">
        <f t="shared" si="44"/>
        <v>0</v>
      </c>
      <c r="BH82" s="1">
        <f t="shared" si="45"/>
        <v>0</v>
      </c>
      <c r="BI82" s="1">
        <f t="shared" si="46"/>
        <v>0</v>
      </c>
      <c r="BJ82" s="1">
        <f t="shared" si="47"/>
        <v>0</v>
      </c>
      <c r="BK82" s="1">
        <f t="shared" si="48"/>
        <v>0</v>
      </c>
      <c r="BL82" s="1">
        <f t="shared" si="49"/>
        <v>0</v>
      </c>
      <c r="BM82" s="1">
        <f t="shared" si="50"/>
        <v>0</v>
      </c>
      <c r="BN82" s="1">
        <f t="shared" si="51"/>
        <v>0</v>
      </c>
      <c r="BO82" s="1">
        <f t="shared" si="52"/>
        <v>0</v>
      </c>
      <c r="BP82" s="1">
        <f t="shared" si="53"/>
        <v>0</v>
      </c>
      <c r="BQ82" s="1">
        <f t="shared" si="54"/>
        <v>0</v>
      </c>
      <c r="BR82" s="1">
        <f t="shared" si="55"/>
        <v>0</v>
      </c>
      <c r="BS82" s="1">
        <f t="shared" si="56"/>
        <v>0</v>
      </c>
      <c r="BT82" s="1">
        <f t="shared" si="57"/>
        <v>0</v>
      </c>
      <c r="BU82" s="1">
        <f t="shared" si="58"/>
        <v>0</v>
      </c>
      <c r="BV82" s="1">
        <f t="shared" si="59"/>
        <v>0</v>
      </c>
      <c r="BW82" s="1">
        <f t="shared" si="60"/>
        <v>0</v>
      </c>
      <c r="BX82" s="1">
        <f t="shared" si="61"/>
        <v>0</v>
      </c>
      <c r="BY82" s="1">
        <f t="shared" si="62"/>
        <v>0</v>
      </c>
      <c r="BZ82" s="1">
        <f t="shared" si="63"/>
        <v>0</v>
      </c>
      <c r="CA82" s="1">
        <f t="shared" si="64"/>
        <v>0</v>
      </c>
      <c r="CB82" s="1">
        <f t="shared" si="65"/>
        <v>0</v>
      </c>
      <c r="CC82" s="1">
        <f t="shared" si="66"/>
        <v>0</v>
      </c>
      <c r="CD82" s="1">
        <f t="shared" si="67"/>
        <v>0</v>
      </c>
      <c r="CE82" s="1">
        <f t="shared" si="68"/>
        <v>0</v>
      </c>
      <c r="CF82" s="1">
        <f t="shared" si="69"/>
        <v>0</v>
      </c>
      <c r="CG82" s="1">
        <f t="shared" si="70"/>
        <v>0</v>
      </c>
      <c r="CH82" s="1">
        <f t="shared" si="71"/>
        <v>0</v>
      </c>
      <c r="CI82" s="1">
        <f t="shared" si="72"/>
        <v>0</v>
      </c>
      <c r="CJ82" s="1">
        <f t="shared" si="73"/>
        <v>0</v>
      </c>
      <c r="CK82" s="1">
        <f t="shared" si="74"/>
        <v>0</v>
      </c>
      <c r="CL82" s="1">
        <f t="shared" si="75"/>
        <v>0</v>
      </c>
      <c r="CM82" s="1">
        <f t="shared" si="76"/>
        <v>0</v>
      </c>
      <c r="CN82" s="1">
        <f t="shared" si="77"/>
        <v>0</v>
      </c>
      <c r="CO82" s="1">
        <f t="shared" si="78"/>
        <v>0</v>
      </c>
      <c r="CP82" s="1">
        <f t="shared" si="79"/>
        <v>0</v>
      </c>
      <c r="CQ82" s="1">
        <f t="shared" si="80"/>
        <v>0</v>
      </c>
      <c r="CR82" s="1">
        <f t="shared" si="81"/>
        <v>0</v>
      </c>
      <c r="CS82" s="25">
        <f t="shared" si="40"/>
        <v>0</v>
      </c>
    </row>
    <row r="83" spans="1:97" x14ac:dyDescent="0.25">
      <c r="A83" s="14"/>
      <c r="B83" s="11"/>
      <c r="C83" t="s">
        <v>38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 s="4">
        <v>0</v>
      </c>
      <c r="AU83">
        <v>0</v>
      </c>
      <c r="AV83">
        <v>41.350661369999997</v>
      </c>
      <c r="AW83">
        <v>41.350661369999997</v>
      </c>
      <c r="AX83">
        <v>0</v>
      </c>
      <c r="AY83" s="4">
        <v>0</v>
      </c>
      <c r="AZ83">
        <f t="shared" si="82"/>
        <v>41.350661369999997</v>
      </c>
      <c r="BB83" s="21"/>
      <c r="BC83" s="4" t="s">
        <v>38</v>
      </c>
      <c r="BD83" s="1">
        <f t="shared" si="42"/>
        <v>0</v>
      </c>
      <c r="BE83" s="1">
        <f t="shared" si="41"/>
        <v>0</v>
      </c>
      <c r="BF83" s="1">
        <f t="shared" si="43"/>
        <v>0</v>
      </c>
      <c r="BG83" s="1">
        <f t="shared" si="44"/>
        <v>0</v>
      </c>
      <c r="BH83" s="1">
        <f t="shared" si="45"/>
        <v>0</v>
      </c>
      <c r="BI83" s="1">
        <f t="shared" si="46"/>
        <v>0</v>
      </c>
      <c r="BJ83" s="1">
        <f t="shared" si="47"/>
        <v>0</v>
      </c>
      <c r="BK83" s="1">
        <f t="shared" si="48"/>
        <v>0</v>
      </c>
      <c r="BL83" s="1">
        <f t="shared" si="49"/>
        <v>0</v>
      </c>
      <c r="BM83" s="1">
        <f t="shared" si="50"/>
        <v>0</v>
      </c>
      <c r="BN83" s="1">
        <f t="shared" si="51"/>
        <v>0</v>
      </c>
      <c r="BO83" s="1">
        <f t="shared" si="52"/>
        <v>0</v>
      </c>
      <c r="BP83" s="1">
        <f t="shared" si="53"/>
        <v>0</v>
      </c>
      <c r="BQ83" s="1">
        <f t="shared" si="54"/>
        <v>0</v>
      </c>
      <c r="BR83" s="1">
        <f t="shared" si="55"/>
        <v>0</v>
      </c>
      <c r="BS83" s="1">
        <f t="shared" si="56"/>
        <v>0</v>
      </c>
      <c r="BT83" s="1">
        <f t="shared" si="57"/>
        <v>0</v>
      </c>
      <c r="BU83" s="1">
        <f t="shared" si="58"/>
        <v>0</v>
      </c>
      <c r="BV83" s="1">
        <f t="shared" si="59"/>
        <v>0</v>
      </c>
      <c r="BW83" s="1">
        <f t="shared" si="60"/>
        <v>0</v>
      </c>
      <c r="BX83" s="1">
        <f t="shared" si="61"/>
        <v>0</v>
      </c>
      <c r="BY83" s="1">
        <f t="shared" si="62"/>
        <v>0</v>
      </c>
      <c r="BZ83" s="1">
        <f t="shared" si="63"/>
        <v>0</v>
      </c>
      <c r="CA83" s="1">
        <f t="shared" si="64"/>
        <v>0</v>
      </c>
      <c r="CB83" s="1">
        <f t="shared" si="65"/>
        <v>0</v>
      </c>
      <c r="CC83" s="1">
        <f t="shared" si="66"/>
        <v>0</v>
      </c>
      <c r="CD83" s="1">
        <f t="shared" si="67"/>
        <v>0</v>
      </c>
      <c r="CE83" s="1">
        <f t="shared" si="68"/>
        <v>0</v>
      </c>
      <c r="CF83" s="1">
        <f t="shared" si="69"/>
        <v>0</v>
      </c>
      <c r="CG83" s="1">
        <f t="shared" si="70"/>
        <v>0</v>
      </c>
      <c r="CH83" s="1">
        <f t="shared" si="71"/>
        <v>0</v>
      </c>
      <c r="CI83" s="1">
        <f t="shared" si="72"/>
        <v>0</v>
      </c>
      <c r="CJ83" s="1">
        <f t="shared" si="73"/>
        <v>0</v>
      </c>
      <c r="CK83" s="1">
        <f t="shared" si="74"/>
        <v>0</v>
      </c>
      <c r="CL83" s="1">
        <f t="shared" si="75"/>
        <v>0</v>
      </c>
      <c r="CM83" s="1">
        <f t="shared" si="76"/>
        <v>0</v>
      </c>
      <c r="CN83" s="1">
        <f t="shared" si="77"/>
        <v>0</v>
      </c>
      <c r="CO83" s="1">
        <f t="shared" si="78"/>
        <v>0</v>
      </c>
      <c r="CP83" s="1">
        <f t="shared" si="79"/>
        <v>0</v>
      </c>
      <c r="CQ83" s="1">
        <f t="shared" si="80"/>
        <v>0</v>
      </c>
      <c r="CR83" s="1">
        <f t="shared" si="81"/>
        <v>0</v>
      </c>
      <c r="CS83" s="25">
        <f t="shared" ref="CS83:CS86" si="83">AS83/AS$92</f>
        <v>0</v>
      </c>
    </row>
    <row r="84" spans="1:97" x14ac:dyDescent="0.25">
      <c r="A84" s="14"/>
      <c r="B84" s="11"/>
      <c r="C84" t="s">
        <v>39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s="4">
        <v>0</v>
      </c>
      <c r="AU84">
        <v>0</v>
      </c>
      <c r="AV84">
        <v>18.028495979999999</v>
      </c>
      <c r="AW84">
        <v>18.028495979999999</v>
      </c>
      <c r="AX84">
        <v>0</v>
      </c>
      <c r="AY84" s="4">
        <v>0</v>
      </c>
      <c r="AZ84">
        <f t="shared" si="82"/>
        <v>18.028495979999999</v>
      </c>
      <c r="BB84" s="21"/>
      <c r="BC84" s="4" t="s">
        <v>39</v>
      </c>
      <c r="BD84" s="1">
        <f t="shared" si="42"/>
        <v>0</v>
      </c>
      <c r="BE84" s="1">
        <f t="shared" si="41"/>
        <v>0</v>
      </c>
      <c r="BF84" s="1">
        <f t="shared" si="43"/>
        <v>0</v>
      </c>
      <c r="BG84" s="1">
        <f t="shared" si="44"/>
        <v>0</v>
      </c>
      <c r="BH84" s="1">
        <f t="shared" si="45"/>
        <v>0</v>
      </c>
      <c r="BI84" s="1">
        <f t="shared" si="46"/>
        <v>0</v>
      </c>
      <c r="BJ84" s="1">
        <f t="shared" si="47"/>
        <v>0</v>
      </c>
      <c r="BK84" s="1">
        <f t="shared" si="48"/>
        <v>0</v>
      </c>
      <c r="BL84" s="1">
        <f t="shared" si="49"/>
        <v>0</v>
      </c>
      <c r="BM84" s="1">
        <f t="shared" si="50"/>
        <v>0</v>
      </c>
      <c r="BN84" s="1">
        <f t="shared" si="51"/>
        <v>0</v>
      </c>
      <c r="BO84" s="1">
        <f t="shared" si="52"/>
        <v>0</v>
      </c>
      <c r="BP84" s="1">
        <f t="shared" si="53"/>
        <v>0</v>
      </c>
      <c r="BQ84" s="1">
        <f t="shared" si="54"/>
        <v>0</v>
      </c>
      <c r="BR84" s="1">
        <f t="shared" si="55"/>
        <v>0</v>
      </c>
      <c r="BS84" s="1">
        <f t="shared" si="56"/>
        <v>0</v>
      </c>
      <c r="BT84" s="1">
        <f t="shared" si="57"/>
        <v>0</v>
      </c>
      <c r="BU84" s="1">
        <f t="shared" si="58"/>
        <v>0</v>
      </c>
      <c r="BV84" s="1">
        <f t="shared" si="59"/>
        <v>0</v>
      </c>
      <c r="BW84" s="1">
        <f t="shared" si="60"/>
        <v>0</v>
      </c>
      <c r="BX84" s="1">
        <f t="shared" si="61"/>
        <v>0</v>
      </c>
      <c r="BY84" s="1">
        <f t="shared" si="62"/>
        <v>0</v>
      </c>
      <c r="BZ84" s="1">
        <f t="shared" si="63"/>
        <v>0</v>
      </c>
      <c r="CA84" s="1">
        <f t="shared" si="64"/>
        <v>0</v>
      </c>
      <c r="CB84" s="1">
        <f t="shared" si="65"/>
        <v>0</v>
      </c>
      <c r="CC84" s="1">
        <f t="shared" si="66"/>
        <v>0</v>
      </c>
      <c r="CD84" s="1">
        <f t="shared" si="67"/>
        <v>0</v>
      </c>
      <c r="CE84" s="1">
        <f t="shared" si="68"/>
        <v>0</v>
      </c>
      <c r="CF84" s="1">
        <f t="shared" si="69"/>
        <v>0</v>
      </c>
      <c r="CG84" s="1">
        <f t="shared" si="70"/>
        <v>0</v>
      </c>
      <c r="CH84" s="1">
        <f t="shared" si="71"/>
        <v>0</v>
      </c>
      <c r="CI84" s="1">
        <f t="shared" si="72"/>
        <v>0</v>
      </c>
      <c r="CJ84" s="1">
        <f t="shared" si="73"/>
        <v>0</v>
      </c>
      <c r="CK84" s="1">
        <f t="shared" si="74"/>
        <v>0</v>
      </c>
      <c r="CL84" s="1">
        <f t="shared" si="75"/>
        <v>0</v>
      </c>
      <c r="CM84" s="1">
        <f t="shared" si="76"/>
        <v>0</v>
      </c>
      <c r="CN84" s="1">
        <f t="shared" si="77"/>
        <v>0</v>
      </c>
      <c r="CO84" s="1">
        <f t="shared" si="78"/>
        <v>0</v>
      </c>
      <c r="CP84" s="1">
        <f t="shared" si="79"/>
        <v>0</v>
      </c>
      <c r="CQ84" s="1">
        <f t="shared" si="80"/>
        <v>0</v>
      </c>
      <c r="CR84" s="1">
        <f t="shared" si="81"/>
        <v>0</v>
      </c>
      <c r="CS84" s="25">
        <f t="shared" si="83"/>
        <v>0</v>
      </c>
    </row>
    <row r="85" spans="1:97" x14ac:dyDescent="0.25">
      <c r="A85" s="14"/>
      <c r="B85" s="11"/>
      <c r="C85" t="s">
        <v>40</v>
      </c>
      <c r="D85">
        <v>6.1790600000000001E-2</v>
      </c>
      <c r="E85">
        <v>1.2375168599999999</v>
      </c>
      <c r="F85">
        <v>3.7655590000000003E-2</v>
      </c>
      <c r="G85">
        <v>0.52813228000000001</v>
      </c>
      <c r="H85">
        <v>0.26202218999999999</v>
      </c>
      <c r="I85">
        <v>0.40966078</v>
      </c>
      <c r="J85">
        <v>0.21942134999999999</v>
      </c>
      <c r="K85">
        <v>0.56359667999999996</v>
      </c>
      <c r="L85">
        <v>0.20483493999999999</v>
      </c>
      <c r="M85">
        <v>1.0803398200000001</v>
      </c>
      <c r="N85">
        <v>1.5498545500000001</v>
      </c>
      <c r="O85">
        <v>0.32366377000000002</v>
      </c>
      <c r="P85">
        <v>1.23730221</v>
      </c>
      <c r="Q85">
        <v>0.53093661999999997</v>
      </c>
      <c r="R85">
        <v>0.53223107000000003</v>
      </c>
      <c r="S85">
        <v>0.93547422999999996</v>
      </c>
      <c r="T85">
        <v>1.4544073</v>
      </c>
      <c r="U85">
        <v>2.8798689999999998E-2</v>
      </c>
      <c r="V85">
        <v>8.365235E-2</v>
      </c>
      <c r="W85">
        <v>3.0097869999999999E-2</v>
      </c>
      <c r="X85">
        <v>0.82163589000000004</v>
      </c>
      <c r="Y85">
        <v>3.4581710000000002E-2</v>
      </c>
      <c r="Z85">
        <v>0.48908043000000001</v>
      </c>
      <c r="AA85">
        <v>0.62701839000000004</v>
      </c>
      <c r="AB85">
        <v>0.97893933</v>
      </c>
      <c r="AC85">
        <v>0.69399816999999997</v>
      </c>
      <c r="AD85">
        <v>0.69230236000000001</v>
      </c>
      <c r="AE85">
        <v>6.5887599999999999E-3</v>
      </c>
      <c r="AF85">
        <v>2.1732729999999999E-2</v>
      </c>
      <c r="AG85">
        <v>0.28189933</v>
      </c>
      <c r="AH85">
        <v>1.3808417500000001</v>
      </c>
      <c r="AI85">
        <v>0.89966005999999998</v>
      </c>
      <c r="AJ85">
        <v>0.12448819</v>
      </c>
      <c r="AK85">
        <v>3.0997643300000002</v>
      </c>
      <c r="AL85">
        <v>0.12521826999999999</v>
      </c>
      <c r="AM85">
        <v>0.50431619999999999</v>
      </c>
      <c r="AN85">
        <v>8.2335549999999993E-2</v>
      </c>
      <c r="AO85">
        <v>0.66564394999999998</v>
      </c>
      <c r="AP85">
        <v>0.36976310000000001</v>
      </c>
      <c r="AQ85">
        <v>1.0782976200000001</v>
      </c>
      <c r="AR85">
        <v>18.969174559999999</v>
      </c>
      <c r="AS85">
        <v>6.8141537100000003</v>
      </c>
      <c r="AT85" s="4">
        <v>3.9900866700000002</v>
      </c>
      <c r="AU85">
        <v>0</v>
      </c>
      <c r="AV85">
        <v>58.7852666</v>
      </c>
      <c r="AW85">
        <v>54.779719129999997</v>
      </c>
      <c r="AX85">
        <v>1.546081E-2</v>
      </c>
      <c r="AY85" s="4">
        <v>0</v>
      </c>
      <c r="AZ85">
        <f t="shared" si="82"/>
        <v>108.85809073999999</v>
      </c>
      <c r="BB85" s="21"/>
      <c r="BC85" s="4" t="s">
        <v>40</v>
      </c>
      <c r="BD85" s="1">
        <f t="shared" si="42"/>
        <v>5.1363924216056872E-5</v>
      </c>
      <c r="BE85" s="1">
        <f t="shared" si="41"/>
        <v>1.6851691127706846E-4</v>
      </c>
      <c r="BF85" s="1">
        <f t="shared" si="43"/>
        <v>4.4382788195499743E-5</v>
      </c>
      <c r="BG85" s="1">
        <f t="shared" si="44"/>
        <v>4.604003337753013E-5</v>
      </c>
      <c r="BH85" s="1">
        <f t="shared" si="45"/>
        <v>8.5547987018800078E-5</v>
      </c>
      <c r="BI85" s="1">
        <f t="shared" si="46"/>
        <v>1.2205702809894727E-4</v>
      </c>
      <c r="BJ85" s="1">
        <f t="shared" si="47"/>
        <v>7.5281127073777783E-5</v>
      </c>
      <c r="BK85" s="1">
        <f t="shared" si="48"/>
        <v>1.2419742747429304E-4</v>
      </c>
      <c r="BL85" s="1">
        <f t="shared" si="49"/>
        <v>3.6294713947233434E-5</v>
      </c>
      <c r="BM85" s="1">
        <f t="shared" si="50"/>
        <v>6.0350024992518027E-5</v>
      </c>
      <c r="BN85" s="1">
        <f t="shared" si="51"/>
        <v>1.018724262041166E-4</v>
      </c>
      <c r="BO85" s="1">
        <f t="shared" si="52"/>
        <v>4.856808444464326E-5</v>
      </c>
      <c r="BP85" s="1">
        <f t="shared" si="53"/>
        <v>1.8169894024536336E-4</v>
      </c>
      <c r="BQ85" s="1">
        <f t="shared" si="54"/>
        <v>1.0483555200605973E-4</v>
      </c>
      <c r="BR85" s="1">
        <f t="shared" si="55"/>
        <v>4.3208710799760776E-5</v>
      </c>
      <c r="BS85" s="1">
        <f t="shared" si="56"/>
        <v>8.2229403819431902E-5</v>
      </c>
      <c r="BT85" s="1">
        <f t="shared" si="57"/>
        <v>9.5118473269687091E-5</v>
      </c>
      <c r="BU85" s="1">
        <f t="shared" si="58"/>
        <v>2.1523903172527591E-5</v>
      </c>
      <c r="BV85" s="1">
        <f t="shared" si="59"/>
        <v>4.6797131800987807E-5</v>
      </c>
      <c r="BW85" s="1">
        <f t="shared" si="60"/>
        <v>6.0903887260404487E-5</v>
      </c>
      <c r="BX85" s="1">
        <f t="shared" si="61"/>
        <v>8.2019434032462764E-5</v>
      </c>
      <c r="BY85" s="1">
        <f t="shared" si="62"/>
        <v>1.6358974657928203E-5</v>
      </c>
      <c r="BZ85" s="1">
        <f t="shared" si="63"/>
        <v>8.2244934979842563E-4</v>
      </c>
      <c r="CA85" s="1">
        <f t="shared" si="64"/>
        <v>2.0310828817302676E-5</v>
      </c>
      <c r="CB85" s="1">
        <f t="shared" si="65"/>
        <v>5.3121189902467756E-5</v>
      </c>
      <c r="CC85" s="1">
        <f t="shared" si="66"/>
        <v>4.369107470600691E-5</v>
      </c>
      <c r="CD85" s="1">
        <f t="shared" si="67"/>
        <v>1.0665669260135176E-4</v>
      </c>
      <c r="CE85" s="1">
        <f t="shared" si="68"/>
        <v>4.1236183349092918E-7</v>
      </c>
      <c r="CF85" s="1">
        <f t="shared" si="69"/>
        <v>5.8648391448001258E-6</v>
      </c>
      <c r="CG85" s="1">
        <f t="shared" si="70"/>
        <v>1.7120821582499633E-4</v>
      </c>
      <c r="CH85" s="1">
        <f t="shared" si="71"/>
        <v>8.238444933356187E-5</v>
      </c>
      <c r="CI85" s="1">
        <f t="shared" si="72"/>
        <v>7.0768285892956062E-5</v>
      </c>
      <c r="CJ85" s="1">
        <f t="shared" si="73"/>
        <v>1.0091555930811071E-5</v>
      </c>
      <c r="CK85" s="1">
        <f t="shared" si="74"/>
        <v>2.1046982891528517E-4</v>
      </c>
      <c r="CL85" s="1">
        <f t="shared" si="75"/>
        <v>4.0957258043464493E-5</v>
      </c>
      <c r="CM85" s="1">
        <f t="shared" si="76"/>
        <v>7.4225171970978922E-5</v>
      </c>
      <c r="CN85" s="1">
        <f t="shared" si="77"/>
        <v>5.4720085776950956E-5</v>
      </c>
      <c r="CO85" s="1">
        <f t="shared" si="78"/>
        <v>1.3515327351814701E-4</v>
      </c>
      <c r="CP85" s="1">
        <f t="shared" si="79"/>
        <v>5.8252661452136306E-5</v>
      </c>
      <c r="CQ85" s="1">
        <f t="shared" si="80"/>
        <v>1.7123120537065851E-4</v>
      </c>
      <c r="CR85" s="1">
        <f t="shared" si="81"/>
        <v>8.2317278817864697E-3</v>
      </c>
      <c r="CS85" s="25">
        <f t="shared" si="83"/>
        <v>6.8087557027485734E-4</v>
      </c>
    </row>
    <row r="86" spans="1:97" x14ac:dyDescent="0.25">
      <c r="A86" s="14"/>
      <c r="B86" s="11"/>
      <c r="C86" s="5" t="s">
        <v>41</v>
      </c>
      <c r="D86" s="3">
        <v>5.1006999999999995E-4</v>
      </c>
      <c r="E86" s="3">
        <v>0.10419489</v>
      </c>
      <c r="F86" s="3">
        <v>4.5755999999999998E-4</v>
      </c>
      <c r="G86" s="3">
        <v>5.822923E-2</v>
      </c>
      <c r="H86" s="3">
        <v>2.5837479999999999E-2</v>
      </c>
      <c r="I86" s="3">
        <v>1.9418410000000001E-2</v>
      </c>
      <c r="J86" s="3">
        <v>1.3477899999999999E-2</v>
      </c>
      <c r="K86" s="3">
        <v>2.8241289999999999E-2</v>
      </c>
      <c r="L86" s="3">
        <v>7.1193999999999997E-3</v>
      </c>
      <c r="M86" s="3">
        <v>0.13866719</v>
      </c>
      <c r="N86" s="3">
        <v>4.1168940000000001E-2</v>
      </c>
      <c r="O86" s="3">
        <v>6.9387340000000006E-2</v>
      </c>
      <c r="P86" s="3">
        <v>4.5378139999999997E-2</v>
      </c>
      <c r="Q86" s="3">
        <v>5.3476660000000002E-2</v>
      </c>
      <c r="R86" s="3">
        <v>4.096441E-2</v>
      </c>
      <c r="S86" s="3">
        <v>3.3682379999999998E-2</v>
      </c>
      <c r="T86" s="3">
        <v>3.6479869999999998E-2</v>
      </c>
      <c r="U86" s="3">
        <v>4.2847800000000002E-3</v>
      </c>
      <c r="V86" s="3">
        <v>6.2816299999999999E-3</v>
      </c>
      <c r="W86" s="3">
        <v>6.11627E-3</v>
      </c>
      <c r="X86" s="3">
        <v>3.0194200000000001E-3</v>
      </c>
      <c r="Y86" s="3">
        <v>1.6519000000000001E-4</v>
      </c>
      <c r="Z86" s="3">
        <v>1.6137000000000001E-4</v>
      </c>
      <c r="AA86" s="3">
        <v>1.247593E-2</v>
      </c>
      <c r="AB86" s="3">
        <v>0.18062111</v>
      </c>
      <c r="AC86" s="3">
        <v>0.64841168000000005</v>
      </c>
      <c r="AD86" s="3">
        <v>1.1775E-4</v>
      </c>
      <c r="AE86" s="3">
        <v>2.3896E-3</v>
      </c>
      <c r="AF86" s="3">
        <v>1.1555700000000001E-3</v>
      </c>
      <c r="AG86" s="3">
        <v>3.6539999999999999E-5</v>
      </c>
      <c r="AH86" s="3">
        <v>2.4628343199999998</v>
      </c>
      <c r="AI86" s="3">
        <v>0.21322028000000001</v>
      </c>
      <c r="AJ86" s="3">
        <v>3.3420999999999999E-4</v>
      </c>
      <c r="AK86" s="3">
        <v>0.36771662999999999</v>
      </c>
      <c r="AL86" s="3">
        <v>4.1211020000000001E-2</v>
      </c>
      <c r="AM86" s="3">
        <v>0.11949438</v>
      </c>
      <c r="AN86" s="3">
        <v>0</v>
      </c>
      <c r="AO86" s="3">
        <v>0.12063901</v>
      </c>
      <c r="AP86" s="3">
        <v>5.516861E-2</v>
      </c>
      <c r="AQ86" s="3">
        <v>6.4621899999999996E-3</v>
      </c>
      <c r="AR86" s="3">
        <v>1.0505270000000001E-2</v>
      </c>
      <c r="AS86" s="20">
        <v>16.263458539999998</v>
      </c>
      <c r="AT86" s="5">
        <v>0</v>
      </c>
      <c r="AU86" s="3">
        <v>0</v>
      </c>
      <c r="AV86" s="3">
        <v>0</v>
      </c>
      <c r="AW86" s="3">
        <v>0</v>
      </c>
      <c r="AX86" s="3">
        <v>0</v>
      </c>
      <c r="AY86" s="5">
        <v>0</v>
      </c>
      <c r="AZ86">
        <f t="shared" si="82"/>
        <v>21.242972459999997</v>
      </c>
      <c r="BB86" s="21"/>
      <c r="BC86" s="5" t="s">
        <v>41</v>
      </c>
      <c r="BD86" s="3">
        <f t="shared" si="42"/>
        <v>4.2399971556974883E-7</v>
      </c>
      <c r="BE86" s="3">
        <f t="shared" si="41"/>
        <v>1.4188575203455337E-5</v>
      </c>
      <c r="BF86" s="3">
        <f t="shared" si="43"/>
        <v>5.3930342259231255E-7</v>
      </c>
      <c r="BG86" s="3">
        <f t="shared" si="44"/>
        <v>5.0761443567658448E-6</v>
      </c>
      <c r="BH86" s="3">
        <f t="shared" si="45"/>
        <v>8.4357145615739904E-6</v>
      </c>
      <c r="BI86" s="3">
        <f t="shared" si="46"/>
        <v>5.7856488361099117E-6</v>
      </c>
      <c r="BJ86" s="3">
        <f t="shared" si="47"/>
        <v>4.6241238721194161E-6</v>
      </c>
      <c r="BK86" s="3">
        <f t="shared" si="48"/>
        <v>6.2234141736879594E-6</v>
      </c>
      <c r="BL86" s="3">
        <f t="shared" si="49"/>
        <v>1.2614868658439506E-6</v>
      </c>
      <c r="BM86" s="3">
        <f t="shared" si="50"/>
        <v>7.7462370887543924E-6</v>
      </c>
      <c r="BN86" s="3">
        <f t="shared" si="51"/>
        <v>2.7060473526704192E-6</v>
      </c>
      <c r="BO86" s="3">
        <f t="shared" si="52"/>
        <v>1.0412071108574102E-5</v>
      </c>
      <c r="BP86" s="3">
        <f t="shared" si="53"/>
        <v>6.663820594247329E-6</v>
      </c>
      <c r="BQ86" s="3">
        <f t="shared" si="54"/>
        <v>1.0559179682389161E-5</v>
      </c>
      <c r="BR86" s="3">
        <f t="shared" si="55"/>
        <v>3.3256595575542559E-6</v>
      </c>
      <c r="BS86" s="3">
        <f t="shared" si="56"/>
        <v>2.9607250930039588E-6</v>
      </c>
      <c r="BT86" s="3">
        <f t="shared" si="57"/>
        <v>2.3857894136509492E-6</v>
      </c>
      <c r="BU86" s="3">
        <f t="shared" si="58"/>
        <v>3.2024092010984801E-6</v>
      </c>
      <c r="BV86" s="3">
        <f t="shared" si="59"/>
        <v>3.5140945476730665E-6</v>
      </c>
      <c r="BW86" s="3">
        <f t="shared" si="60"/>
        <v>1.2376444530267231E-5</v>
      </c>
      <c r="BX86" s="3">
        <f t="shared" si="61"/>
        <v>3.0141224661729267E-7</v>
      </c>
      <c r="BY86" s="3">
        <f t="shared" si="62"/>
        <v>7.8143591619476302E-8</v>
      </c>
      <c r="BZ86" s="3">
        <f t="shared" si="63"/>
        <v>2.7136365193956327E-7</v>
      </c>
      <c r="CA86" s="3">
        <f t="shared" si="64"/>
        <v>4.0412926097215578E-7</v>
      </c>
      <c r="CB86" s="3">
        <f t="shared" si="65"/>
        <v>9.8012287285510511E-6</v>
      </c>
      <c r="CC86" s="3">
        <f t="shared" si="66"/>
        <v>4.0821149645290057E-5</v>
      </c>
      <c r="CD86" s="3">
        <f t="shared" si="67"/>
        <v>1.8140665523383699E-8</v>
      </c>
      <c r="CE86" s="3">
        <f t="shared" si="68"/>
        <v>1.4955467148749148E-7</v>
      </c>
      <c r="CF86" s="3">
        <f t="shared" si="69"/>
        <v>3.1184449310126629E-7</v>
      </c>
      <c r="CG86" s="3">
        <f t="shared" si="70"/>
        <v>2.2192135775013605E-8</v>
      </c>
      <c r="CH86" s="3">
        <f t="shared" si="71"/>
        <v>1.4693881413492695E-4</v>
      </c>
      <c r="CI86" s="3">
        <f t="shared" si="72"/>
        <v>1.6772150286649541E-5</v>
      </c>
      <c r="CJ86" s="3">
        <f t="shared" si="73"/>
        <v>2.7092521046666095E-8</v>
      </c>
      <c r="CK86" s="3">
        <f t="shared" si="74"/>
        <v>2.4967464608964389E-5</v>
      </c>
      <c r="CL86" s="3">
        <f t="shared" si="75"/>
        <v>1.3479585529926075E-5</v>
      </c>
      <c r="CM86" s="3">
        <f t="shared" si="76"/>
        <v>1.7587162389519721E-5</v>
      </c>
      <c r="CN86" s="3">
        <f t="shared" si="77"/>
        <v>0</v>
      </c>
      <c r="CO86" s="3">
        <f t="shared" si="78"/>
        <v>2.4494712399156447E-5</v>
      </c>
      <c r="CP86" s="3">
        <f t="shared" si="79"/>
        <v>8.6912900749559414E-6</v>
      </c>
      <c r="CQ86" s="3">
        <f t="shared" si="80"/>
        <v>1.0261810491932789E-6</v>
      </c>
      <c r="CR86" s="3">
        <f t="shared" si="81"/>
        <v>4.558792144126643E-6</v>
      </c>
      <c r="CS86" s="20">
        <f t="shared" si="83"/>
        <v>1.6250575022711071E-3</v>
      </c>
    </row>
    <row r="87" spans="1:97" ht="15" customHeight="1" x14ac:dyDescent="0.25">
      <c r="A87" s="15" t="s">
        <v>51</v>
      </c>
      <c r="B87" s="16"/>
      <c r="C87" t="s">
        <v>46</v>
      </c>
      <c r="D87">
        <v>149.84804671000001</v>
      </c>
      <c r="E87">
        <v>751.70122602000004</v>
      </c>
      <c r="F87">
        <v>127.33216444999999</v>
      </c>
      <c r="G87">
        <v>1188.5063756</v>
      </c>
      <c r="H87">
        <v>449.80529819999998</v>
      </c>
      <c r="I87">
        <v>736.86149840999997</v>
      </c>
      <c r="J87">
        <v>449.48071047000002</v>
      </c>
      <c r="K87">
        <v>594.32847532000005</v>
      </c>
      <c r="L87">
        <v>162.9668533</v>
      </c>
      <c r="M87">
        <v>1600.7600890799999</v>
      </c>
      <c r="N87">
        <v>703.25791908999997</v>
      </c>
      <c r="O87">
        <v>846.53075182999999</v>
      </c>
      <c r="P87">
        <v>979.30706813999996</v>
      </c>
      <c r="Q87">
        <v>738.65714704000004</v>
      </c>
      <c r="R87">
        <v>1088.6817469499999</v>
      </c>
      <c r="S87">
        <v>882.17304688000002</v>
      </c>
      <c r="T87">
        <v>1335.79247291</v>
      </c>
      <c r="U87">
        <v>188.52840320999999</v>
      </c>
      <c r="V87">
        <v>199.61910549999999</v>
      </c>
      <c r="W87">
        <v>132.81081682999999</v>
      </c>
      <c r="X87">
        <v>861.52812009000002</v>
      </c>
      <c r="Y87">
        <v>72.224230660000003</v>
      </c>
      <c r="Z87">
        <v>125.46410971</v>
      </c>
      <c r="AA87">
        <v>5728.6744371100003</v>
      </c>
      <c r="AB87">
        <v>6843.7453057599996</v>
      </c>
      <c r="AC87">
        <v>2585.7498966799999</v>
      </c>
      <c r="AD87">
        <v>1710.40125395</v>
      </c>
      <c r="AE87">
        <v>9321.3153886100008</v>
      </c>
      <c r="AF87">
        <v>750.50695686999995</v>
      </c>
      <c r="AG87">
        <v>210.15362923999999</v>
      </c>
      <c r="AH87">
        <v>2423.4377975000002</v>
      </c>
      <c r="AI87">
        <v>2369.05898832</v>
      </c>
      <c r="AJ87">
        <v>1172.0835774</v>
      </c>
      <c r="AK87">
        <v>3572.8443986299999</v>
      </c>
      <c r="AL87">
        <v>1180.6289781200001</v>
      </c>
      <c r="AM87">
        <v>1228.42387121</v>
      </c>
      <c r="AN87">
        <v>441.50796192000001</v>
      </c>
      <c r="AO87">
        <v>2182.3467607100001</v>
      </c>
      <c r="AP87">
        <v>3898.9102081199999</v>
      </c>
      <c r="AQ87">
        <v>2463.9875038199998</v>
      </c>
      <c r="AR87">
        <v>700.72754134000002</v>
      </c>
      <c r="AS87">
        <v>5572.3383718599998</v>
      </c>
    </row>
    <row r="88" spans="1:97" x14ac:dyDescent="0.25">
      <c r="A88" s="15"/>
      <c r="B88" s="16"/>
      <c r="C88" t="s">
        <v>47</v>
      </c>
      <c r="D88">
        <v>309.65753561999998</v>
      </c>
      <c r="E88">
        <v>192.74220217000001</v>
      </c>
      <c r="F88">
        <v>68.084000110000005</v>
      </c>
      <c r="G88">
        <v>1225.2056592500001</v>
      </c>
      <c r="H88">
        <v>-3.3095313800000001</v>
      </c>
      <c r="I88">
        <v>-27.854798580000001</v>
      </c>
      <c r="J88">
        <v>53.360242450000001</v>
      </c>
      <c r="K88">
        <v>69.135135270000006</v>
      </c>
      <c r="L88">
        <v>731.47550951999995</v>
      </c>
      <c r="M88">
        <v>516.33310280000001</v>
      </c>
      <c r="N88">
        <v>334.96932464999998</v>
      </c>
      <c r="O88">
        <v>73.030453919999999</v>
      </c>
      <c r="P88">
        <v>133.16552325000001</v>
      </c>
      <c r="Q88">
        <v>133.25793375000001</v>
      </c>
      <c r="R88">
        <v>397.32828928999999</v>
      </c>
      <c r="S88">
        <v>33.931725479999997</v>
      </c>
      <c r="T88">
        <v>-13.19994488</v>
      </c>
      <c r="U88">
        <v>69.962213980000001</v>
      </c>
      <c r="V88">
        <v>93.206923860000003</v>
      </c>
      <c r="W88">
        <v>13.954688089999999</v>
      </c>
      <c r="X88">
        <v>305.02483912000002</v>
      </c>
      <c r="Y88">
        <v>26.1251614</v>
      </c>
      <c r="Z88">
        <v>30.994153099999998</v>
      </c>
      <c r="AA88">
        <v>857.64131255999996</v>
      </c>
      <c r="AB88">
        <v>1469.01641387</v>
      </c>
      <c r="AC88">
        <v>206.90792719000001</v>
      </c>
      <c r="AD88">
        <v>39.436660719999999</v>
      </c>
      <c r="AE88">
        <v>-428.08349238</v>
      </c>
      <c r="AF88">
        <v>427.39306728000003</v>
      </c>
      <c r="AG88">
        <v>595.29312757000002</v>
      </c>
      <c r="AH88">
        <v>311.04406446000002</v>
      </c>
      <c r="AI88">
        <v>970.67711872999996</v>
      </c>
      <c r="AJ88">
        <v>712.61748079999995</v>
      </c>
      <c r="AK88">
        <v>343.77085225000002</v>
      </c>
      <c r="AL88">
        <v>26.60998691</v>
      </c>
      <c r="AM88">
        <v>143.39036791000001</v>
      </c>
      <c r="AN88">
        <v>34.27248419</v>
      </c>
      <c r="AO88">
        <v>56.634388039999997</v>
      </c>
      <c r="AP88">
        <v>18.989720640000002</v>
      </c>
      <c r="AQ88">
        <v>10.17871025</v>
      </c>
      <c r="AR88">
        <v>42.267688130000003</v>
      </c>
      <c r="AS88">
        <v>14.086233249999999</v>
      </c>
    </row>
    <row r="89" spans="1:97" x14ac:dyDescent="0.25">
      <c r="A89" s="15"/>
      <c r="B89" s="16"/>
      <c r="C89" t="s">
        <v>48</v>
      </c>
      <c r="D89">
        <v>59.432288110000002</v>
      </c>
      <c r="E89">
        <v>321.38087086000002</v>
      </c>
      <c r="F89">
        <v>34.957831839999997</v>
      </c>
      <c r="G89">
        <v>354.14416548999998</v>
      </c>
      <c r="H89">
        <v>120.24670847</v>
      </c>
      <c r="I89">
        <v>74.340524090000002</v>
      </c>
      <c r="J89">
        <v>114.12375858999999</v>
      </c>
      <c r="K89">
        <v>163.93799586</v>
      </c>
      <c r="L89">
        <v>197.04850164999999</v>
      </c>
      <c r="M89">
        <v>767.14055625000003</v>
      </c>
      <c r="N89">
        <v>548.66315349000001</v>
      </c>
      <c r="O89">
        <v>227.3211221</v>
      </c>
      <c r="P89">
        <v>198.09279669</v>
      </c>
      <c r="Q89">
        <v>118.15528208000001</v>
      </c>
      <c r="R89">
        <v>409.34342022999999</v>
      </c>
      <c r="S89">
        <v>277.09930771000001</v>
      </c>
      <c r="T89">
        <v>564.79951372999994</v>
      </c>
      <c r="U89">
        <v>28.673362919999999</v>
      </c>
      <c r="V89">
        <v>89.540406790000006</v>
      </c>
      <c r="W89">
        <v>13.2357858</v>
      </c>
      <c r="X89">
        <v>1311.5152794200001</v>
      </c>
      <c r="Y89">
        <v>43.861957140000001</v>
      </c>
      <c r="Z89">
        <v>103.88478126</v>
      </c>
      <c r="AA89">
        <v>185.83697794</v>
      </c>
      <c r="AB89">
        <v>443.98052503999997</v>
      </c>
      <c r="AC89">
        <v>1786.76812307</v>
      </c>
      <c r="AD89">
        <v>190.32063088000001</v>
      </c>
      <c r="AE89">
        <v>327.90465330000001</v>
      </c>
      <c r="AF89">
        <v>165.08740822999999</v>
      </c>
      <c r="AG89">
        <v>208.80335457000001</v>
      </c>
      <c r="AH89">
        <v>867.79885065999997</v>
      </c>
      <c r="AI89">
        <v>330.14368088999998</v>
      </c>
      <c r="AJ89">
        <v>4113.5815388800002</v>
      </c>
      <c r="AK89">
        <v>845.06300567000005</v>
      </c>
      <c r="AL89">
        <v>1000.7138108300001</v>
      </c>
      <c r="AM89">
        <v>222.53715252999999</v>
      </c>
      <c r="AN89">
        <v>179.69614834999999</v>
      </c>
      <c r="AO89">
        <v>150.35568377999999</v>
      </c>
      <c r="AP89">
        <v>623.73484206000001</v>
      </c>
      <c r="AQ89">
        <v>807.80738222000002</v>
      </c>
      <c r="AR89">
        <v>249.89427108999999</v>
      </c>
      <c r="AS89">
        <v>695.29692029</v>
      </c>
    </row>
    <row r="90" spans="1:97" x14ac:dyDescent="0.25">
      <c r="A90" s="15"/>
      <c r="B90" s="16"/>
      <c r="C90" t="s">
        <v>49</v>
      </c>
      <c r="D90">
        <v>131.14951679000001</v>
      </c>
      <c r="E90">
        <v>574.56677523999997</v>
      </c>
      <c r="F90">
        <v>96.303536210000004</v>
      </c>
      <c r="G90">
        <v>821.39552794999997</v>
      </c>
      <c r="H90">
        <v>163.10835356000001</v>
      </c>
      <c r="I90">
        <v>352.71897590999998</v>
      </c>
      <c r="J90">
        <v>198.70232075999999</v>
      </c>
      <c r="K90">
        <v>395.44829907000002</v>
      </c>
      <c r="L90">
        <v>84.127160930000002</v>
      </c>
      <c r="M90">
        <v>1446.04723788</v>
      </c>
      <c r="N90">
        <v>552.70897208999997</v>
      </c>
      <c r="O90">
        <v>462.73586060000002</v>
      </c>
      <c r="P90">
        <v>575.57149077999998</v>
      </c>
      <c r="Q90">
        <v>494.01629209999999</v>
      </c>
      <c r="R90">
        <v>768.06202081000004</v>
      </c>
      <c r="S90">
        <v>930.09145607000005</v>
      </c>
      <c r="T90">
        <v>957.29991387999996</v>
      </c>
      <c r="U90">
        <v>145.02167544</v>
      </c>
      <c r="V90">
        <v>674.30102323999995</v>
      </c>
      <c r="W90">
        <v>38.095653220000003</v>
      </c>
      <c r="X90">
        <v>285.07359528000001</v>
      </c>
      <c r="Y90">
        <v>108.0926214</v>
      </c>
      <c r="Z90">
        <v>38.102528720000002</v>
      </c>
      <c r="AA90">
        <v>2520.30511007</v>
      </c>
      <c r="AB90">
        <v>3215.3122254999998</v>
      </c>
      <c r="AC90">
        <v>1217.27548628</v>
      </c>
      <c r="AD90">
        <v>422.50781430000001</v>
      </c>
      <c r="AE90">
        <v>302.14960363</v>
      </c>
      <c r="AF90">
        <v>664.20635883</v>
      </c>
      <c r="AG90">
        <v>298.44267108999998</v>
      </c>
      <c r="AH90">
        <v>2241.1225173399998</v>
      </c>
      <c r="AI90">
        <v>5722.8087276799997</v>
      </c>
      <c r="AJ90">
        <v>2333.8751779200002</v>
      </c>
      <c r="AK90">
        <v>492.80968199</v>
      </c>
      <c r="AL90">
        <v>214.40564968000001</v>
      </c>
      <c r="AM90">
        <v>749.17994581000005</v>
      </c>
      <c r="AN90">
        <v>93.529969339999994</v>
      </c>
      <c r="AO90">
        <v>341.44290998000002</v>
      </c>
      <c r="AP90">
        <v>56.432107690000002</v>
      </c>
      <c r="AQ90">
        <v>-37.322050699999998</v>
      </c>
      <c r="AR90">
        <v>43.693202380000002</v>
      </c>
      <c r="AS90">
        <v>33.604728860000002</v>
      </c>
    </row>
    <row r="91" spans="1:97" x14ac:dyDescent="0.25">
      <c r="A91" s="15"/>
      <c r="B91" s="16"/>
      <c r="C91" t="s">
        <v>50</v>
      </c>
      <c r="D91">
        <v>650.08738722999999</v>
      </c>
      <c r="E91">
        <v>1840.39107429</v>
      </c>
      <c r="F91">
        <v>326.67753261000001</v>
      </c>
      <c r="G91">
        <v>3589.2517282899998</v>
      </c>
      <c r="H91">
        <v>729.85082884999997</v>
      </c>
      <c r="I91">
        <v>1136.0661998400001</v>
      </c>
      <c r="J91">
        <v>815.66703227000005</v>
      </c>
      <c r="K91">
        <v>1222.84990552</v>
      </c>
      <c r="L91">
        <v>1175.6180254000001</v>
      </c>
      <c r="M91">
        <v>4330.2809860099997</v>
      </c>
      <c r="N91">
        <v>2139.5993693199998</v>
      </c>
      <c r="O91">
        <v>1609.6181884499999</v>
      </c>
      <c r="P91">
        <v>1886.13687886</v>
      </c>
      <c r="Q91">
        <v>1484.0866549699999</v>
      </c>
      <c r="R91">
        <v>2663.4154772900001</v>
      </c>
      <c r="S91">
        <v>2123.29553614</v>
      </c>
      <c r="T91">
        <v>2844.6919556500002</v>
      </c>
      <c r="U91">
        <v>432.18565555999999</v>
      </c>
      <c r="V91">
        <v>1056.66745939</v>
      </c>
      <c r="W91">
        <v>198.09694393999999</v>
      </c>
      <c r="X91">
        <v>2763.1418339100001</v>
      </c>
      <c r="Y91">
        <v>250.30397060000001</v>
      </c>
      <c r="Z91">
        <v>298.44557279000003</v>
      </c>
      <c r="AA91">
        <v>9292.45783768</v>
      </c>
      <c r="AB91">
        <v>11972.054470180001</v>
      </c>
      <c r="AC91">
        <v>5796.7014332099998</v>
      </c>
      <c r="AD91">
        <v>2362.6663598499999</v>
      </c>
      <c r="AE91">
        <v>9523.2861531599992</v>
      </c>
      <c r="AF91">
        <v>2007.19379121</v>
      </c>
      <c r="AG91">
        <v>1312.69278248</v>
      </c>
      <c r="AH91">
        <v>5843.4032299700002</v>
      </c>
      <c r="AI91">
        <v>9392.6885156299995</v>
      </c>
      <c r="AJ91">
        <v>8332.1577749999997</v>
      </c>
      <c r="AK91">
        <v>5254.48793854</v>
      </c>
      <c r="AL91">
        <v>2422.35842555</v>
      </c>
      <c r="AM91">
        <v>2343.5313374500001</v>
      </c>
      <c r="AN91">
        <v>749.00656380999999</v>
      </c>
      <c r="AO91">
        <v>2730.7797425099998</v>
      </c>
      <c r="AP91">
        <v>4598.0668784999998</v>
      </c>
      <c r="AQ91">
        <v>3244.6515456000002</v>
      </c>
      <c r="AR91">
        <v>1036.58270294</v>
      </c>
      <c r="AS91">
        <v>6315.3262542499997</v>
      </c>
    </row>
    <row r="92" spans="1:97" ht="18.75" x14ac:dyDescent="0.3">
      <c r="A92" s="23" t="s">
        <v>64</v>
      </c>
      <c r="B92" s="23"/>
      <c r="C92" s="23"/>
      <c r="D92">
        <f>SUM(D3:D86)+D91</f>
        <v>1202.9960900199999</v>
      </c>
      <c r="E92">
        <f>SUM(E3:E86)+E91</f>
        <v>7343.5766809499992</v>
      </c>
      <c r="F92">
        <f>SUM(F3:F86)+F91</f>
        <v>848.42776965999951</v>
      </c>
      <c r="G92">
        <f>SUM(G3:G86)+G91</f>
        <v>11471.153282390002</v>
      </c>
      <c r="H92">
        <f>SUM(H3:H86)+H91</f>
        <v>3062.8679777400002</v>
      </c>
      <c r="I92">
        <f>SUM(I3:I86)+I91</f>
        <v>3356.3063625300024</v>
      </c>
      <c r="J92">
        <f>SUM(J3:J86)+J91</f>
        <v>2914.6926796800003</v>
      </c>
      <c r="K92">
        <f>SUM(K3:K86)+K91</f>
        <v>4537.9094516000005</v>
      </c>
      <c r="L92">
        <f>SUM(L3:L86)+L91</f>
        <v>5643.6576493700004</v>
      </c>
      <c r="M92">
        <f>SUM(M3:M86)+M91</f>
        <v>17901.232354650005</v>
      </c>
      <c r="N92">
        <f>SUM(N3:N86)+N91</f>
        <v>15213.680558609994</v>
      </c>
      <c r="O92">
        <f>SUM(O3:O86)+O91</f>
        <v>6664.1246757200033</v>
      </c>
      <c r="P92">
        <f>SUM(P3:P86)+P91</f>
        <v>6809.6281042100009</v>
      </c>
      <c r="Q92">
        <f>SUM(Q3:Q86)+Q91</f>
        <v>5064.4710676900013</v>
      </c>
      <c r="R92">
        <f>SUM(R3:R86)+R91</f>
        <v>12317.679934180002</v>
      </c>
      <c r="S92">
        <f>SUM(S3:S86)+S91</f>
        <v>11376.395626729996</v>
      </c>
      <c r="T92">
        <f>SUM(T3:T86)+T91</f>
        <v>15290.481964280001</v>
      </c>
      <c r="U92">
        <f>SUM(U3:U86)+U91</f>
        <v>1337.9864130200003</v>
      </c>
      <c r="V92">
        <f>SUM(V3:V86)+V91</f>
        <v>1787.5529285799998</v>
      </c>
      <c r="W92">
        <f>SUM(W3:W86)+W91</f>
        <v>494.18635416999996</v>
      </c>
      <c r="X92">
        <f>SUM(X3:X86)+X91</f>
        <v>10017.575708640001</v>
      </c>
      <c r="Y92">
        <f>SUM(Y3:Y86)+Y91</f>
        <v>2113.92894256</v>
      </c>
      <c r="Z92">
        <f>SUM(Z3:Z86)+Z91</f>
        <v>594.66328245</v>
      </c>
      <c r="AA92">
        <f>SUM(AA3:AA86)+AA91</f>
        <v>30871.13754145999</v>
      </c>
      <c r="AB92">
        <f>SUM(AB3:AB86)+AB91</f>
        <v>18428.414946980003</v>
      </c>
      <c r="AC92">
        <f>SUM(AC3:AC86)+AC91</f>
        <v>15884.209181619994</v>
      </c>
      <c r="AD92">
        <f>SUM(AD3:AD86)+AD91</f>
        <v>6490.9415725800018</v>
      </c>
      <c r="AE92">
        <f>SUM(AE3:AE86)+AE91</f>
        <v>15978.103366699999</v>
      </c>
      <c r="AF92">
        <f>SUM(AF3:AF86)+AF91</f>
        <v>3705.5969419499997</v>
      </c>
      <c r="AG92">
        <f>SUM(AG3:AG86)+AG91</f>
        <v>1646.52921965</v>
      </c>
      <c r="AH92">
        <f>SUM(AH3:AH86)+AH91</f>
        <v>16760.951383059997</v>
      </c>
      <c r="AI92">
        <f>SUM(AI3:AI86)+AI91</f>
        <v>12712.75753889</v>
      </c>
      <c r="AJ92">
        <f>SUM(AJ3:AJ86)+AJ91</f>
        <v>12335.876732339999</v>
      </c>
      <c r="AK92">
        <f>SUM(AK3:AK86)+AK91</f>
        <v>14727.832231229997</v>
      </c>
      <c r="AL92">
        <f>SUM(AL3:AL86)+AL91</f>
        <v>3057.2913320299999</v>
      </c>
      <c r="AM92">
        <f>SUM(AM3:AM86)+AM91</f>
        <v>6794.4093170599999</v>
      </c>
      <c r="AN92">
        <f>SUM(AN3:AN86)+AN91</f>
        <v>1504.6677802300001</v>
      </c>
      <c r="AO92">
        <f>SUM(AO3:AO86)+AO91</f>
        <v>4925.1041626500009</v>
      </c>
      <c r="AP92">
        <f>SUM(AP3:AP86)+AP91</f>
        <v>6347.5743559599996</v>
      </c>
      <c r="AQ92">
        <f>SUM(AQ3:AQ86)+AQ91</f>
        <v>6297.3195666399997</v>
      </c>
      <c r="AR92">
        <f>SUM(AR3:AR86)+AR91</f>
        <v>2304.3976711100004</v>
      </c>
      <c r="AS92">
        <f>SUM(AS3:AS86)+AS91</f>
        <v>10007.92803779</v>
      </c>
    </row>
    <row r="93" spans="1:97" ht="18.75" x14ac:dyDescent="0.3">
      <c r="A93" s="24" t="s">
        <v>63</v>
      </c>
      <c r="B93" s="24"/>
      <c r="C93" s="24"/>
      <c r="D93">
        <v>1671.3747898300001</v>
      </c>
      <c r="E93">
        <v>121.83312957999999</v>
      </c>
      <c r="F93">
        <v>169.90887060000006</v>
      </c>
      <c r="G93">
        <v>961.34299764000002</v>
      </c>
      <c r="H93">
        <v>87.964283980000005</v>
      </c>
      <c r="I93">
        <v>243.46577034000001</v>
      </c>
      <c r="J93">
        <v>93.875363349999972</v>
      </c>
      <c r="K93">
        <v>325.31113674999995</v>
      </c>
      <c r="L93">
        <v>401.69280921000001</v>
      </c>
      <c r="M93">
        <v>1834.2077374900005</v>
      </c>
      <c r="N93">
        <v>1438.9132164500002</v>
      </c>
      <c r="O93">
        <v>77.509844559999991</v>
      </c>
      <c r="P93">
        <v>554.73105571000008</v>
      </c>
      <c r="Q93">
        <v>639.37476891000006</v>
      </c>
      <c r="R93">
        <v>595.55931873999998</v>
      </c>
      <c r="S93">
        <v>478.24591606999979</v>
      </c>
      <c r="T93">
        <v>5058.2235333999997</v>
      </c>
      <c r="U93">
        <v>434.97576892999996</v>
      </c>
      <c r="V93">
        <v>186.91727160000008</v>
      </c>
      <c r="W93">
        <v>41.972510540000016</v>
      </c>
      <c r="X93">
        <v>1.3859130900000001</v>
      </c>
      <c r="Y93">
        <v>0</v>
      </c>
      <c r="Z93">
        <v>0</v>
      </c>
      <c r="AA93">
        <v>55.488446840000002</v>
      </c>
      <c r="AB93">
        <v>0</v>
      </c>
      <c r="AC93">
        <v>799.0331953299999</v>
      </c>
      <c r="AD93">
        <v>383.14756301</v>
      </c>
      <c r="AE93">
        <v>961.72787412000002</v>
      </c>
      <c r="AF93">
        <v>373.12056021000001</v>
      </c>
      <c r="AG93">
        <v>2795.8425432100003</v>
      </c>
      <c r="AH93">
        <v>312.7018324</v>
      </c>
      <c r="AI93">
        <v>102.17847426999998</v>
      </c>
      <c r="AJ93">
        <v>0</v>
      </c>
      <c r="AK93">
        <v>389.48606526999998</v>
      </c>
      <c r="AL93">
        <v>312.58898531</v>
      </c>
      <c r="AM93">
        <v>1.5014329999999998E-2</v>
      </c>
      <c r="AN93">
        <v>41.469064400000001</v>
      </c>
      <c r="AO93">
        <v>18.02414598</v>
      </c>
      <c r="AP93">
        <v>41.350661369999997</v>
      </c>
      <c r="AQ93">
        <v>18.028495979999999</v>
      </c>
      <c r="AR93">
        <v>108.85809073999999</v>
      </c>
      <c r="AS93">
        <v>21.242972459999997</v>
      </c>
    </row>
    <row r="94" spans="1:97" ht="18.75" x14ac:dyDescent="0.3">
      <c r="A94" s="23" t="s">
        <v>65</v>
      </c>
      <c r="B94" s="23"/>
      <c r="C94" s="23"/>
      <c r="D94">
        <f>D91/D92</f>
        <v>0.54039027443488385</v>
      </c>
      <c r="E94">
        <f t="shared" ref="E94:AS94" si="84">E91/E92</f>
        <v>0.25061235883383171</v>
      </c>
      <c r="F94">
        <f t="shared" si="84"/>
        <v>0.38503870841110416</v>
      </c>
      <c r="G94">
        <f t="shared" si="84"/>
        <v>0.31289371172470143</v>
      </c>
      <c r="H94">
        <f t="shared" si="84"/>
        <v>0.23829000601865161</v>
      </c>
      <c r="I94">
        <f t="shared" si="84"/>
        <v>0.33848703816883602</v>
      </c>
      <c r="J94">
        <f t="shared" si="84"/>
        <v>0.27984666718261048</v>
      </c>
      <c r="K94">
        <f t="shared" si="84"/>
        <v>0.26947428514441624</v>
      </c>
      <c r="L94">
        <f t="shared" si="84"/>
        <v>0.20830782064380426</v>
      </c>
      <c r="M94">
        <f t="shared" si="84"/>
        <v>0.24189848498811148</v>
      </c>
      <c r="N94">
        <f t="shared" si="84"/>
        <v>0.14063653834963163</v>
      </c>
      <c r="O94">
        <f t="shared" si="84"/>
        <v>0.24153482516833227</v>
      </c>
      <c r="P94">
        <f t="shared" si="84"/>
        <v>0.27698089381619978</v>
      </c>
      <c r="Q94">
        <f t="shared" si="84"/>
        <v>0.29303882579921997</v>
      </c>
      <c r="R94">
        <f t="shared" si="84"/>
        <v>0.2162270404428483</v>
      </c>
      <c r="S94">
        <f t="shared" si="84"/>
        <v>0.18664044446125816</v>
      </c>
      <c r="T94">
        <f t="shared" si="84"/>
        <v>0.18604331520062398</v>
      </c>
      <c r="U94">
        <f t="shared" si="84"/>
        <v>0.32301199126865843</v>
      </c>
      <c r="V94">
        <f t="shared" si="84"/>
        <v>0.59112513117549914</v>
      </c>
      <c r="W94">
        <f t="shared" si="84"/>
        <v>0.40085474288886314</v>
      </c>
      <c r="X94">
        <f t="shared" si="84"/>
        <v>0.27582939368522402</v>
      </c>
      <c r="Y94">
        <f t="shared" si="84"/>
        <v>0.11840699351837158</v>
      </c>
      <c r="Z94">
        <f t="shared" si="84"/>
        <v>0.50187321396473417</v>
      </c>
      <c r="AA94">
        <f t="shared" si="84"/>
        <v>0.30100795039380113</v>
      </c>
      <c r="AB94">
        <f t="shared" si="84"/>
        <v>0.64965188295491183</v>
      </c>
      <c r="AC94">
        <f t="shared" si="84"/>
        <v>0.36493484610599969</v>
      </c>
      <c r="AD94">
        <f t="shared" si="84"/>
        <v>0.36399439641094994</v>
      </c>
      <c r="AE94">
        <f t="shared" si="84"/>
        <v>0.59602106298845836</v>
      </c>
      <c r="AF94">
        <f t="shared" si="84"/>
        <v>0.54166543816115964</v>
      </c>
      <c r="AG94">
        <f t="shared" si="84"/>
        <v>0.79724839791123592</v>
      </c>
      <c r="AH94">
        <f t="shared" si="84"/>
        <v>0.34863195390422924</v>
      </c>
      <c r="AI94">
        <f t="shared" si="84"/>
        <v>0.73883958589602039</v>
      </c>
      <c r="AJ94">
        <f t="shared" si="84"/>
        <v>0.67544106963684525</v>
      </c>
      <c r="AK94">
        <f t="shared" si="84"/>
        <v>0.35677266389536882</v>
      </c>
      <c r="AL94">
        <f t="shared" si="84"/>
        <v>0.79232175232106095</v>
      </c>
      <c r="AM94">
        <f t="shared" si="84"/>
        <v>0.34492054100503716</v>
      </c>
      <c r="AN94">
        <f t="shared" si="84"/>
        <v>0.49778866381754289</v>
      </c>
      <c r="AO94">
        <f t="shared" si="84"/>
        <v>0.55446131743144222</v>
      </c>
      <c r="AP94">
        <f t="shared" si="84"/>
        <v>0.72438172767250608</v>
      </c>
      <c r="AQ94">
        <f t="shared" si="84"/>
        <v>0.51524327315204332</v>
      </c>
      <c r="AR94">
        <f t="shared" si="84"/>
        <v>0.44982804658047182</v>
      </c>
      <c r="AS94">
        <f t="shared" si="84"/>
        <v>0.63103234060070057</v>
      </c>
    </row>
    <row r="96" spans="1:97" x14ac:dyDescent="0.25">
      <c r="A96" s="28" t="s">
        <v>66</v>
      </c>
      <c r="B96" s="29"/>
      <c r="C96" t="s">
        <v>46</v>
      </c>
      <c r="D96">
        <f>D87/D$92</f>
        <v>0.12456237219150793</v>
      </c>
      <c r="E96">
        <f t="shared" ref="E96:AS100" si="85">E87/E$92</f>
        <v>0.10236173171174083</v>
      </c>
      <c r="F96">
        <f t="shared" si="85"/>
        <v>0.15008014707136155</v>
      </c>
      <c r="G96">
        <f t="shared" si="85"/>
        <v>0.10360827253738658</v>
      </c>
      <c r="H96">
        <f t="shared" si="85"/>
        <v>0.14685755359651448</v>
      </c>
      <c r="I96">
        <f t="shared" si="85"/>
        <v>0.21954536291333956</v>
      </c>
      <c r="J96">
        <f t="shared" si="85"/>
        <v>0.15421204218324239</v>
      </c>
      <c r="K96">
        <f t="shared" si="85"/>
        <v>0.13096966381963582</v>
      </c>
      <c r="L96">
        <f t="shared" si="85"/>
        <v>2.8876105431057095E-2</v>
      </c>
      <c r="M96">
        <f t="shared" si="85"/>
        <v>8.9421781549256757E-2</v>
      </c>
      <c r="N96">
        <f t="shared" si="85"/>
        <v>4.6225363834920263E-2</v>
      </c>
      <c r="O96">
        <f t="shared" si="85"/>
        <v>0.12702804839684956</v>
      </c>
      <c r="P96">
        <f t="shared" si="85"/>
        <v>0.1438121220650142</v>
      </c>
      <c r="Q96">
        <f t="shared" si="85"/>
        <v>0.1458507980729595</v>
      </c>
      <c r="R96">
        <f t="shared" si="85"/>
        <v>8.838366906490612E-2</v>
      </c>
      <c r="S96">
        <f t="shared" si="85"/>
        <v>7.7544160367211998E-2</v>
      </c>
      <c r="T96">
        <f t="shared" si="85"/>
        <v>8.7361044343176125E-2</v>
      </c>
      <c r="U96">
        <f t="shared" si="85"/>
        <v>0.14090457225531022</v>
      </c>
      <c r="V96">
        <f t="shared" si="85"/>
        <v>0.11167171741234753</v>
      </c>
      <c r="W96">
        <f t="shared" si="85"/>
        <v>0.26874642674636279</v>
      </c>
      <c r="X96">
        <f t="shared" si="85"/>
        <v>8.600165800064237E-2</v>
      </c>
      <c r="Y96">
        <f t="shared" si="85"/>
        <v>3.4165874361195586E-2</v>
      </c>
      <c r="Z96">
        <f t="shared" si="85"/>
        <v>0.21098344796586491</v>
      </c>
      <c r="AA96">
        <f t="shared" si="85"/>
        <v>0.18556732577205426</v>
      </c>
      <c r="AB96">
        <f t="shared" si="85"/>
        <v>0.37136917773177958</v>
      </c>
      <c r="AC96">
        <f t="shared" si="85"/>
        <v>0.16278744929096214</v>
      </c>
      <c r="AD96">
        <f t="shared" si="85"/>
        <v>0.26350587735611897</v>
      </c>
      <c r="AE96">
        <f t="shared" si="85"/>
        <v>0.58338059121814012</v>
      </c>
      <c r="AF96">
        <f t="shared" si="85"/>
        <v>0.2025333485068832</v>
      </c>
      <c r="AG96">
        <f t="shared" si="85"/>
        <v>0.12763431509868498</v>
      </c>
      <c r="AH96">
        <f t="shared" si="85"/>
        <v>0.14458831972684599</v>
      </c>
      <c r="AI96">
        <f t="shared" si="85"/>
        <v>0.18635288064550404</v>
      </c>
      <c r="AJ96">
        <f t="shared" si="85"/>
        <v>9.5014209596245444E-2</v>
      </c>
      <c r="AK96">
        <f t="shared" si="85"/>
        <v>0.24259132929650526</v>
      </c>
      <c r="AL96">
        <f t="shared" si="85"/>
        <v>0.38616829405527359</v>
      </c>
      <c r="AM96">
        <f t="shared" si="85"/>
        <v>0.18079921504369267</v>
      </c>
      <c r="AN96">
        <f t="shared" si="85"/>
        <v>0.29342554397789533</v>
      </c>
      <c r="AO96">
        <f t="shared" si="85"/>
        <v>0.44310672193697664</v>
      </c>
      <c r="AP96">
        <f t="shared" si="85"/>
        <v>0.61423624040877156</v>
      </c>
      <c r="AQ96">
        <f t="shared" si="85"/>
        <v>0.39127560190417426</v>
      </c>
      <c r="AR96">
        <f t="shared" si="85"/>
        <v>0.30408273282209491</v>
      </c>
      <c r="AS96">
        <f t="shared" si="85"/>
        <v>0.55679241005918656</v>
      </c>
    </row>
    <row r="97" spans="1:45" x14ac:dyDescent="0.25">
      <c r="A97" s="28"/>
      <c r="B97" s="29"/>
      <c r="C97" t="s">
        <v>47</v>
      </c>
      <c r="D97">
        <f t="shared" ref="D97:S100" si="86">D88/D$92</f>
        <v>0.25740527187819195</v>
      </c>
      <c r="E97">
        <f t="shared" si="86"/>
        <v>2.6246366116117956E-2</v>
      </c>
      <c r="F97">
        <f t="shared" si="86"/>
        <v>8.0247255623521266E-2</v>
      </c>
      <c r="G97">
        <f t="shared" si="86"/>
        <v>0.10680753966829827</v>
      </c>
      <c r="H97">
        <f t="shared" si="86"/>
        <v>-1.0805334751783867E-3</v>
      </c>
      <c r="I97">
        <f t="shared" si="86"/>
        <v>-8.2992419556726336E-3</v>
      </c>
      <c r="J97">
        <f t="shared" si="86"/>
        <v>1.8307330588231464E-2</v>
      </c>
      <c r="K97">
        <f t="shared" si="86"/>
        <v>1.5235018681482058E-2</v>
      </c>
      <c r="L97">
        <f t="shared" si="86"/>
        <v>0.12961018455852905</v>
      </c>
      <c r="M97">
        <f t="shared" si="86"/>
        <v>2.884343896390339E-2</v>
      </c>
      <c r="N97">
        <f t="shared" si="86"/>
        <v>2.201763888491981E-2</v>
      </c>
      <c r="O97">
        <f t="shared" si="86"/>
        <v>1.0958746643213073E-2</v>
      </c>
      <c r="P97">
        <f t="shared" si="86"/>
        <v>1.9555476629872257E-2</v>
      </c>
      <c r="Q97">
        <f t="shared" si="86"/>
        <v>2.6312310203557232E-2</v>
      </c>
      <c r="R97">
        <f t="shared" si="86"/>
        <v>3.2256747326861797E-2</v>
      </c>
      <c r="S97">
        <f t="shared" si="86"/>
        <v>2.9826428856143121E-3</v>
      </c>
      <c r="T97">
        <f t="shared" si="85"/>
        <v>-8.6327853568228313E-4</v>
      </c>
      <c r="U97">
        <f t="shared" si="85"/>
        <v>5.2289181189879692E-2</v>
      </c>
      <c r="V97">
        <f t="shared" si="85"/>
        <v>5.214218967717052E-2</v>
      </c>
      <c r="W97">
        <f t="shared" si="85"/>
        <v>2.8237704202572114E-2</v>
      </c>
      <c r="X97">
        <f>X88/X$92</f>
        <v>3.0448967693542953E-2</v>
      </c>
      <c r="Y97">
        <f t="shared" si="85"/>
        <v>1.2358580685480389E-2</v>
      </c>
      <c r="Z97">
        <f t="shared" si="85"/>
        <v>5.2120509227179375E-2</v>
      </c>
      <c r="AA97">
        <f t="shared" si="85"/>
        <v>2.7781331718281718E-2</v>
      </c>
      <c r="AB97">
        <f t="shared" si="85"/>
        <v>7.9714745847457608E-2</v>
      </c>
      <c r="AC97">
        <f t="shared" si="85"/>
        <v>1.3026013748888312E-2</v>
      </c>
      <c r="AD97">
        <f t="shared" si="85"/>
        <v>6.0756456176703534E-3</v>
      </c>
      <c r="AE97">
        <f t="shared" si="85"/>
        <v>-2.6791884027497891E-2</v>
      </c>
      <c r="AF97">
        <f t="shared" si="85"/>
        <v>0.11533717076501379</v>
      </c>
      <c r="AG97">
        <f t="shared" si="85"/>
        <v>0.36154422312440987</v>
      </c>
      <c r="AH97">
        <f t="shared" si="85"/>
        <v>1.8557661635745026E-2</v>
      </c>
      <c r="AI97">
        <f t="shared" si="85"/>
        <v>7.6354568689017369E-2</v>
      </c>
      <c r="AJ97">
        <f t="shared" si="85"/>
        <v>5.7767882758733048E-2</v>
      </c>
      <c r="AK97">
        <f t="shared" si="85"/>
        <v>2.3341578506105101E-2</v>
      </c>
      <c r="AL97">
        <f t="shared" si="85"/>
        <v>8.7037786131854596E-3</v>
      </c>
      <c r="AM97">
        <f t="shared" si="85"/>
        <v>2.1104169798831941E-2</v>
      </c>
      <c r="AN97">
        <f t="shared" si="85"/>
        <v>2.2777442728760488E-2</v>
      </c>
      <c r="AO97">
        <f t="shared" si="85"/>
        <v>1.1499124926025383E-2</v>
      </c>
      <c r="AP97">
        <f t="shared" si="85"/>
        <v>2.991649971326412E-3</v>
      </c>
      <c r="AQ97">
        <f t="shared" si="85"/>
        <v>1.6163559975456282E-3</v>
      </c>
      <c r="AR97">
        <f t="shared" si="85"/>
        <v>1.8342184884104735E-2</v>
      </c>
      <c r="AS97">
        <f t="shared" si="85"/>
        <v>1.4075074477764322E-3</v>
      </c>
    </row>
    <row r="98" spans="1:45" x14ac:dyDescent="0.25">
      <c r="A98" s="28"/>
      <c r="B98" s="29"/>
      <c r="C98" t="s">
        <v>48</v>
      </c>
      <c r="D98">
        <f t="shared" si="86"/>
        <v>4.9403558833688258E-2</v>
      </c>
      <c r="E98">
        <f t="shared" si="85"/>
        <v>4.3763534422360618E-2</v>
      </c>
      <c r="F98">
        <f t="shared" si="85"/>
        <v>4.1203073602846668E-2</v>
      </c>
      <c r="G98">
        <f t="shared" si="85"/>
        <v>3.0872585935510614E-2</v>
      </c>
      <c r="H98">
        <f t="shared" si="85"/>
        <v>3.9259514071098324E-2</v>
      </c>
      <c r="I98">
        <f t="shared" si="85"/>
        <v>2.2149504860444771E-2</v>
      </c>
      <c r="J98">
        <f t="shared" si="85"/>
        <v>3.9154645491657619E-2</v>
      </c>
      <c r="K98">
        <f t="shared" si="85"/>
        <v>3.6126325923536852E-2</v>
      </c>
      <c r="L98">
        <f t="shared" si="85"/>
        <v>3.4915034520564242E-2</v>
      </c>
      <c r="M98">
        <f t="shared" si="85"/>
        <v>4.2854063957821785E-2</v>
      </c>
      <c r="N98">
        <f t="shared" si="85"/>
        <v>3.6063801351441604E-2</v>
      </c>
      <c r="O98">
        <f t="shared" si="85"/>
        <v>3.411117485965099E-2</v>
      </c>
      <c r="P98">
        <f t="shared" si="85"/>
        <v>2.9090105018735258E-2</v>
      </c>
      <c r="Q98">
        <f t="shared" si="85"/>
        <v>2.3330231430049971E-2</v>
      </c>
      <c r="R98">
        <f t="shared" si="85"/>
        <v>3.3232185153157283E-2</v>
      </c>
      <c r="S98">
        <f t="shared" si="85"/>
        <v>2.4357390231658879E-2</v>
      </c>
      <c r="T98">
        <f t="shared" si="85"/>
        <v>3.6937979786995895E-2</v>
      </c>
      <c r="U98">
        <f t="shared" si="85"/>
        <v>2.1430234747511885E-2</v>
      </c>
      <c r="V98">
        <f t="shared" si="85"/>
        <v>5.0091052051325441E-2</v>
      </c>
      <c r="W98">
        <f t="shared" si="85"/>
        <v>2.6782985180215831E-2</v>
      </c>
      <c r="X98">
        <f t="shared" si="85"/>
        <v>0.13092142426124506</v>
      </c>
      <c r="Y98">
        <f t="shared" si="85"/>
        <v>2.074902152902193E-2</v>
      </c>
      <c r="Z98">
        <f t="shared" si="85"/>
        <v>0.17469513307093204</v>
      </c>
      <c r="AA98">
        <f t="shared" si="85"/>
        <v>6.0197645030223013E-3</v>
      </c>
      <c r="AB98">
        <f t="shared" si="85"/>
        <v>2.409217104766562E-2</v>
      </c>
      <c r="AC98">
        <f t="shared" si="85"/>
        <v>0.11248706829783588</v>
      </c>
      <c r="AD98">
        <f t="shared" si="85"/>
        <v>2.9320958870432703E-2</v>
      </c>
      <c r="AE98">
        <f t="shared" si="85"/>
        <v>2.0522126173209445E-2</v>
      </c>
      <c r="AF98">
        <f t="shared" si="85"/>
        <v>4.4550826983121884E-2</v>
      </c>
      <c r="AG98">
        <f t="shared" si="85"/>
        <v>0.12681424178696629</v>
      </c>
      <c r="AH98">
        <f t="shared" si="85"/>
        <v>5.1775035368044155E-2</v>
      </c>
      <c r="AI98">
        <f t="shared" si="85"/>
        <v>2.5969478288250757E-2</v>
      </c>
      <c r="AJ98">
        <f t="shared" si="85"/>
        <v>0.33346487064804614</v>
      </c>
      <c r="AK98">
        <f t="shared" si="85"/>
        <v>5.7378641500143192E-2</v>
      </c>
      <c r="AL98">
        <f t="shared" si="85"/>
        <v>0.32732039643913807</v>
      </c>
      <c r="AM98">
        <f t="shared" si="85"/>
        <v>3.2752980008318625E-2</v>
      </c>
      <c r="AN98">
        <f t="shared" si="85"/>
        <v>0.11942579665162502</v>
      </c>
      <c r="AO98">
        <f t="shared" si="85"/>
        <v>3.0528427179314647E-2</v>
      </c>
      <c r="AP98">
        <f t="shared" si="85"/>
        <v>9.826349516872529E-2</v>
      </c>
      <c r="AQ98">
        <f t="shared" si="85"/>
        <v>0.12827797186907158</v>
      </c>
      <c r="AR98">
        <f t="shared" si="85"/>
        <v>0.10844233797963741</v>
      </c>
      <c r="AS98">
        <f t="shared" si="85"/>
        <v>6.9474612293828897E-2</v>
      </c>
    </row>
    <row r="99" spans="1:45" x14ac:dyDescent="0.25">
      <c r="A99" s="28"/>
      <c r="B99" s="29"/>
      <c r="C99" t="s">
        <v>49</v>
      </c>
      <c r="D99">
        <f t="shared" si="86"/>
        <v>0.1090190715314957</v>
      </c>
      <c r="E99">
        <f t="shared" si="85"/>
        <v>7.8240726583612294E-2</v>
      </c>
      <c r="F99">
        <f t="shared" si="85"/>
        <v>0.11350823211337467</v>
      </c>
      <c r="G99">
        <f t="shared" si="85"/>
        <v>7.1605313583505983E-2</v>
      </c>
      <c r="H99">
        <f t="shared" si="85"/>
        <v>5.3253471826217216E-2</v>
      </c>
      <c r="I99">
        <f t="shared" si="85"/>
        <v>0.10509141234774481</v>
      </c>
      <c r="J99">
        <f t="shared" si="85"/>
        <v>6.8172648919478954E-2</v>
      </c>
      <c r="K99">
        <f t="shared" si="85"/>
        <v>8.7143276719761506E-2</v>
      </c>
      <c r="L99">
        <f t="shared" si="85"/>
        <v>1.4906496133653871E-2</v>
      </c>
      <c r="M99">
        <f t="shared" si="85"/>
        <v>8.0779200517129557E-2</v>
      </c>
      <c r="N99">
        <f t="shared" si="85"/>
        <v>3.6329734278349964E-2</v>
      </c>
      <c r="O99">
        <f t="shared" si="85"/>
        <v>6.9436855268618647E-2</v>
      </c>
      <c r="P99">
        <f t="shared" si="85"/>
        <v>8.4523190102578041E-2</v>
      </c>
      <c r="Q99">
        <f t="shared" si="85"/>
        <v>9.7545486092653289E-2</v>
      </c>
      <c r="R99">
        <f t="shared" si="85"/>
        <v>6.2354438897111238E-2</v>
      </c>
      <c r="S99">
        <f t="shared" si="85"/>
        <v>8.1756250976772971E-2</v>
      </c>
      <c r="T99">
        <f t="shared" si="85"/>
        <v>6.2607569605480209E-2</v>
      </c>
      <c r="U99">
        <f t="shared" si="85"/>
        <v>0.10838800306848273</v>
      </c>
      <c r="V99">
        <f t="shared" si="85"/>
        <v>0.37722017203465558</v>
      </c>
      <c r="W99">
        <f t="shared" si="85"/>
        <v>7.708762675971241E-2</v>
      </c>
      <c r="X99">
        <f t="shared" si="85"/>
        <v>2.845734372979368E-2</v>
      </c>
      <c r="Y99">
        <f t="shared" si="85"/>
        <v>5.1133516942673672E-2</v>
      </c>
      <c r="Z99">
        <f t="shared" si="85"/>
        <v>6.4074123700757851E-2</v>
      </c>
      <c r="AA99">
        <f t="shared" si="85"/>
        <v>8.1639528400442835E-2</v>
      </c>
      <c r="AB99">
        <f t="shared" si="85"/>
        <v>0.17447578832746635</v>
      </c>
      <c r="AC99">
        <f t="shared" si="85"/>
        <v>7.6634314768942932E-2</v>
      </c>
      <c r="AD99">
        <f t="shared" si="85"/>
        <v>6.5091914566727915E-2</v>
      </c>
      <c r="AE99">
        <f t="shared" si="85"/>
        <v>1.8910229624606801E-2</v>
      </c>
      <c r="AF99">
        <f t="shared" si="85"/>
        <v>0.1792440919061408</v>
      </c>
      <c r="AG99">
        <f t="shared" si="85"/>
        <v>0.18125561789510147</v>
      </c>
      <c r="AH99">
        <f t="shared" si="85"/>
        <v>0.13371093717299745</v>
      </c>
      <c r="AI99">
        <f t="shared" si="85"/>
        <v>0.45016265827246166</v>
      </c>
      <c r="AJ99">
        <f t="shared" si="85"/>
        <v>0.18919410663382061</v>
      </c>
      <c r="AK99">
        <f t="shared" si="85"/>
        <v>3.3461114592615297E-2</v>
      </c>
      <c r="AL99">
        <f t="shared" si="85"/>
        <v>7.0129283210192989E-2</v>
      </c>
      <c r="AM99">
        <f t="shared" si="85"/>
        <v>0.11026417615566569</v>
      </c>
      <c r="AN99">
        <f t="shared" si="85"/>
        <v>6.215988045261607E-2</v>
      </c>
      <c r="AO99">
        <f t="shared" si="85"/>
        <v>6.9327043389125667E-2</v>
      </c>
      <c r="AP99">
        <f t="shared" si="85"/>
        <v>8.8903421252582212E-3</v>
      </c>
      <c r="AQ99">
        <f t="shared" si="85"/>
        <v>-5.9266566203362561E-3</v>
      </c>
      <c r="AR99">
        <f t="shared" si="85"/>
        <v>1.8960790894634743E-2</v>
      </c>
      <c r="AS99">
        <f>AS90/AS$92</f>
        <v>3.3578108009078736E-3</v>
      </c>
    </row>
    <row r="100" spans="1:45" x14ac:dyDescent="0.25">
      <c r="A100" s="28"/>
      <c r="B100" s="29"/>
      <c r="C100" t="s">
        <v>50</v>
      </c>
      <c r="D100">
        <f t="shared" si="86"/>
        <v>0.54039027443488385</v>
      </c>
      <c r="E100">
        <f t="shared" si="85"/>
        <v>0.25061235883383171</v>
      </c>
      <c r="F100">
        <f t="shared" si="85"/>
        <v>0.38503870841110416</v>
      </c>
      <c r="G100">
        <f t="shared" si="85"/>
        <v>0.31289371172470143</v>
      </c>
      <c r="H100">
        <f t="shared" si="85"/>
        <v>0.23829000601865161</v>
      </c>
      <c r="I100">
        <f t="shared" si="85"/>
        <v>0.33848703816883602</v>
      </c>
      <c r="J100">
        <f t="shared" si="85"/>
        <v>0.27984666718261048</v>
      </c>
      <c r="K100">
        <f t="shared" si="85"/>
        <v>0.26947428514441624</v>
      </c>
      <c r="L100">
        <f t="shared" si="85"/>
        <v>0.20830782064380426</v>
      </c>
      <c r="M100">
        <f t="shared" si="85"/>
        <v>0.24189848498811148</v>
      </c>
      <c r="N100">
        <f t="shared" si="85"/>
        <v>0.14063653834963163</v>
      </c>
      <c r="O100">
        <f t="shared" si="85"/>
        <v>0.24153482516833227</v>
      </c>
      <c r="P100">
        <f t="shared" si="85"/>
        <v>0.27698089381619978</v>
      </c>
      <c r="Q100">
        <f t="shared" si="85"/>
        <v>0.29303882579921997</v>
      </c>
      <c r="R100">
        <f t="shared" si="85"/>
        <v>0.2162270404428483</v>
      </c>
      <c r="S100">
        <f t="shared" si="85"/>
        <v>0.18664044446125816</v>
      </c>
      <c r="T100">
        <f t="shared" si="85"/>
        <v>0.18604331520062398</v>
      </c>
      <c r="U100">
        <f t="shared" si="85"/>
        <v>0.32301199126865843</v>
      </c>
      <c r="V100">
        <f t="shared" si="85"/>
        <v>0.59112513117549914</v>
      </c>
      <c r="W100">
        <f t="shared" si="85"/>
        <v>0.40085474288886314</v>
      </c>
      <c r="X100">
        <f t="shared" si="85"/>
        <v>0.27582939368522402</v>
      </c>
      <c r="Y100">
        <f t="shared" si="85"/>
        <v>0.11840699351837158</v>
      </c>
      <c r="Z100">
        <f t="shared" si="85"/>
        <v>0.50187321396473417</v>
      </c>
      <c r="AA100">
        <f t="shared" si="85"/>
        <v>0.30100795039380113</v>
      </c>
      <c r="AB100">
        <f t="shared" si="85"/>
        <v>0.64965188295491183</v>
      </c>
      <c r="AC100">
        <f t="shared" si="85"/>
        <v>0.36493484610599969</v>
      </c>
      <c r="AD100">
        <f t="shared" si="85"/>
        <v>0.36399439641094994</v>
      </c>
      <c r="AE100">
        <f t="shared" si="85"/>
        <v>0.59602106298845836</v>
      </c>
      <c r="AF100">
        <f t="shared" si="85"/>
        <v>0.54166543816115964</v>
      </c>
      <c r="AG100">
        <f t="shared" si="85"/>
        <v>0.79724839791123592</v>
      </c>
      <c r="AH100">
        <f t="shared" si="85"/>
        <v>0.34863195390422924</v>
      </c>
      <c r="AI100">
        <f t="shared" si="85"/>
        <v>0.73883958589602039</v>
      </c>
      <c r="AJ100">
        <f t="shared" si="85"/>
        <v>0.67544106963684525</v>
      </c>
      <c r="AK100">
        <f t="shared" si="85"/>
        <v>0.35677266389536882</v>
      </c>
      <c r="AL100">
        <f t="shared" si="85"/>
        <v>0.79232175232106095</v>
      </c>
      <c r="AM100">
        <f t="shared" si="85"/>
        <v>0.34492054100503716</v>
      </c>
      <c r="AN100">
        <f t="shared" si="85"/>
        <v>0.49778866381754289</v>
      </c>
      <c r="AO100">
        <f t="shared" si="85"/>
        <v>0.55446131743144222</v>
      </c>
      <c r="AP100">
        <f t="shared" si="85"/>
        <v>0.72438172767250608</v>
      </c>
      <c r="AQ100">
        <f t="shared" si="85"/>
        <v>0.51524327315204332</v>
      </c>
      <c r="AR100">
        <f t="shared" si="85"/>
        <v>0.44982804658047182</v>
      </c>
      <c r="AS100">
        <f t="shared" si="85"/>
        <v>0.63103234060070057</v>
      </c>
    </row>
  </sheetData>
  <mergeCells count="11">
    <mergeCell ref="A92:C92"/>
    <mergeCell ref="BB2:BB44"/>
    <mergeCell ref="BB45:BB86"/>
    <mergeCell ref="A94:C94"/>
    <mergeCell ref="A96:B100"/>
    <mergeCell ref="C1:AS1"/>
    <mergeCell ref="AT1:AX1"/>
    <mergeCell ref="A2:A86"/>
    <mergeCell ref="B2:B44"/>
    <mergeCell ref="B45:B86"/>
    <mergeCell ref="A87:B9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627A-4A2F-432C-A747-C5156051D057}">
  <dimension ref="A1:AQ6"/>
  <sheetViews>
    <sheetView workbookViewId="0">
      <selection activeCell="C19" sqref="C19"/>
    </sheetView>
  </sheetViews>
  <sheetFormatPr defaultRowHeight="15" x14ac:dyDescent="0.25"/>
  <sheetData>
    <row r="1" spans="1:4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25">
      <c r="A2" t="s">
        <v>46</v>
      </c>
      <c r="B2">
        <v>0.12456237219150793</v>
      </c>
      <c r="C2">
        <v>0.10236173171174083</v>
      </c>
      <c r="D2">
        <v>0.15008014707136155</v>
      </c>
      <c r="E2">
        <v>0.10360827253738658</v>
      </c>
      <c r="F2">
        <v>0.14685755359651448</v>
      </c>
      <c r="G2">
        <v>0.21954536291333956</v>
      </c>
      <c r="H2">
        <v>0.15421204218324239</v>
      </c>
      <c r="I2">
        <v>0.13096966381963582</v>
      </c>
      <c r="J2">
        <v>2.8876105431057095E-2</v>
      </c>
      <c r="K2">
        <v>8.9421781549256757E-2</v>
      </c>
      <c r="L2">
        <v>4.6225363834920263E-2</v>
      </c>
      <c r="M2">
        <v>0.12702804839684956</v>
      </c>
      <c r="N2">
        <v>0.1438121220650142</v>
      </c>
      <c r="O2">
        <v>0.1458507980729595</v>
      </c>
      <c r="P2">
        <v>8.838366906490612E-2</v>
      </c>
      <c r="Q2">
        <v>7.7544160367211998E-2</v>
      </c>
      <c r="R2">
        <v>8.7361044343176125E-2</v>
      </c>
      <c r="S2">
        <v>0.14090457225531022</v>
      </c>
      <c r="T2">
        <v>0.11167171741234753</v>
      </c>
      <c r="U2">
        <v>0.26874642674636279</v>
      </c>
      <c r="V2">
        <v>8.600165800064237E-2</v>
      </c>
      <c r="W2">
        <v>3.4165874361195586E-2</v>
      </c>
      <c r="X2">
        <v>0.21098344796586491</v>
      </c>
      <c r="Y2">
        <v>0.18556732577205426</v>
      </c>
      <c r="Z2">
        <v>0.37136917773177958</v>
      </c>
      <c r="AA2">
        <v>0.16278744929096214</v>
      </c>
      <c r="AB2">
        <v>0.26350587735611897</v>
      </c>
      <c r="AC2">
        <v>0.58338059121814012</v>
      </c>
      <c r="AD2">
        <v>0.2025333485068832</v>
      </c>
      <c r="AE2">
        <v>0.12763431509868498</v>
      </c>
      <c r="AF2">
        <v>0.14458831972684599</v>
      </c>
      <c r="AG2">
        <v>0.18635288064550404</v>
      </c>
      <c r="AH2">
        <v>9.5014209596245444E-2</v>
      </c>
      <c r="AI2">
        <v>0.24259132929650526</v>
      </c>
      <c r="AJ2">
        <v>0.38616829405527359</v>
      </c>
      <c r="AK2">
        <v>0.18079921504369267</v>
      </c>
      <c r="AL2">
        <v>0.29342554397789533</v>
      </c>
      <c r="AM2">
        <v>0.44310672193697664</v>
      </c>
      <c r="AN2">
        <v>0.61423624040877156</v>
      </c>
      <c r="AO2">
        <v>0.39127560190417426</v>
      </c>
      <c r="AP2">
        <v>0.30408273282209491</v>
      </c>
      <c r="AQ2">
        <v>0.55679241005918656</v>
      </c>
    </row>
    <row r="3" spans="1:43" x14ac:dyDescent="0.25">
      <c r="A3" t="s">
        <v>47</v>
      </c>
      <c r="B3">
        <v>0.25740527187819195</v>
      </c>
      <c r="C3">
        <v>2.6246366116117956E-2</v>
      </c>
      <c r="D3">
        <v>8.0247255623521266E-2</v>
      </c>
      <c r="E3">
        <v>0.10680753966829827</v>
      </c>
      <c r="F3">
        <v>-1.0805334751783867E-3</v>
      </c>
      <c r="G3">
        <v>-8.2992419556726336E-3</v>
      </c>
      <c r="H3">
        <v>1.8307330588231464E-2</v>
      </c>
      <c r="I3">
        <v>1.5235018681482058E-2</v>
      </c>
      <c r="J3">
        <v>0.12961018455852905</v>
      </c>
      <c r="K3">
        <v>2.884343896390339E-2</v>
      </c>
      <c r="L3">
        <v>2.201763888491981E-2</v>
      </c>
      <c r="M3">
        <v>1.0958746643213073E-2</v>
      </c>
      <c r="N3">
        <v>1.9555476629872257E-2</v>
      </c>
      <c r="O3">
        <v>2.6312310203557232E-2</v>
      </c>
      <c r="P3">
        <v>3.2256747326861797E-2</v>
      </c>
      <c r="Q3">
        <v>2.9826428856143121E-3</v>
      </c>
      <c r="R3">
        <v>-8.6327853568228313E-4</v>
      </c>
      <c r="S3">
        <v>5.2289181189879692E-2</v>
      </c>
      <c r="T3">
        <v>5.214218967717052E-2</v>
      </c>
      <c r="U3">
        <v>2.8237704202572114E-2</v>
      </c>
      <c r="V3">
        <v>3.0448967693542953E-2</v>
      </c>
      <c r="W3">
        <v>1.2358580685480389E-2</v>
      </c>
      <c r="X3">
        <v>5.2120509227179375E-2</v>
      </c>
      <c r="Y3">
        <v>2.7781331718281718E-2</v>
      </c>
      <c r="Z3">
        <v>7.9714745847457608E-2</v>
      </c>
      <c r="AA3">
        <v>1.3026013748888312E-2</v>
      </c>
      <c r="AB3">
        <v>6.0756456176703534E-3</v>
      </c>
      <c r="AC3">
        <v>-2.6791884027497891E-2</v>
      </c>
      <c r="AD3">
        <v>0.11533717076501379</v>
      </c>
      <c r="AE3">
        <v>0.36154422312440987</v>
      </c>
      <c r="AF3">
        <v>1.8557661635745026E-2</v>
      </c>
      <c r="AG3">
        <v>7.6354568689017369E-2</v>
      </c>
      <c r="AH3">
        <v>5.7767882758733048E-2</v>
      </c>
      <c r="AI3">
        <v>2.3341578506105101E-2</v>
      </c>
      <c r="AJ3">
        <v>8.7037786131854596E-3</v>
      </c>
      <c r="AK3">
        <v>2.1104169798831941E-2</v>
      </c>
      <c r="AL3">
        <v>2.2777442728760488E-2</v>
      </c>
      <c r="AM3">
        <v>1.1499124926025383E-2</v>
      </c>
      <c r="AN3">
        <v>2.991649971326412E-3</v>
      </c>
      <c r="AO3">
        <v>1.6163559975456282E-3</v>
      </c>
      <c r="AP3">
        <v>1.8342184884104735E-2</v>
      </c>
      <c r="AQ3">
        <v>1.4075074477764322E-3</v>
      </c>
    </row>
    <row r="4" spans="1:43" x14ac:dyDescent="0.25">
      <c r="A4" t="s">
        <v>48</v>
      </c>
      <c r="B4">
        <v>4.9403558833688258E-2</v>
      </c>
      <c r="C4">
        <v>4.3763534422360618E-2</v>
      </c>
      <c r="D4">
        <v>4.1203073602846668E-2</v>
      </c>
      <c r="E4">
        <v>3.0872585935510614E-2</v>
      </c>
      <c r="F4">
        <v>3.9259514071098324E-2</v>
      </c>
      <c r="G4">
        <v>2.2149504860444771E-2</v>
      </c>
      <c r="H4">
        <v>3.9154645491657619E-2</v>
      </c>
      <c r="I4">
        <v>3.6126325923536852E-2</v>
      </c>
      <c r="J4">
        <v>3.4915034520564242E-2</v>
      </c>
      <c r="K4">
        <v>4.2854063957821785E-2</v>
      </c>
      <c r="L4">
        <v>3.6063801351441604E-2</v>
      </c>
      <c r="M4">
        <v>3.411117485965099E-2</v>
      </c>
      <c r="N4">
        <v>2.9090105018735258E-2</v>
      </c>
      <c r="O4">
        <v>2.3330231430049971E-2</v>
      </c>
      <c r="P4">
        <v>3.3232185153157283E-2</v>
      </c>
      <c r="Q4">
        <v>2.4357390231658879E-2</v>
      </c>
      <c r="R4">
        <v>3.6937979786995895E-2</v>
      </c>
      <c r="S4">
        <v>2.1430234747511885E-2</v>
      </c>
      <c r="T4">
        <v>5.0091052051325441E-2</v>
      </c>
      <c r="U4">
        <v>2.6782985180215831E-2</v>
      </c>
      <c r="V4">
        <v>0.13092142426124506</v>
      </c>
      <c r="W4">
        <v>2.074902152902193E-2</v>
      </c>
      <c r="X4">
        <v>0.17469513307093204</v>
      </c>
      <c r="Y4">
        <v>6.0197645030223013E-3</v>
      </c>
      <c r="Z4">
        <v>2.409217104766562E-2</v>
      </c>
      <c r="AA4">
        <v>0.11248706829783588</v>
      </c>
      <c r="AB4">
        <v>2.9320958870432703E-2</v>
      </c>
      <c r="AC4">
        <v>2.0522126173209445E-2</v>
      </c>
      <c r="AD4">
        <v>4.4550826983121884E-2</v>
      </c>
      <c r="AE4">
        <v>0.12681424178696629</v>
      </c>
      <c r="AF4">
        <v>5.1775035368044155E-2</v>
      </c>
      <c r="AG4">
        <v>2.5969478288250757E-2</v>
      </c>
      <c r="AH4">
        <v>0.33346487064804614</v>
      </c>
      <c r="AI4">
        <v>5.7378641500143192E-2</v>
      </c>
      <c r="AJ4">
        <v>0.32732039643913807</v>
      </c>
      <c r="AK4">
        <v>3.2752980008318625E-2</v>
      </c>
      <c r="AL4">
        <v>0.11942579665162502</v>
      </c>
      <c r="AM4">
        <v>3.0528427179314647E-2</v>
      </c>
      <c r="AN4">
        <v>9.826349516872529E-2</v>
      </c>
      <c r="AO4">
        <v>0.12827797186907158</v>
      </c>
      <c r="AP4">
        <v>0.10844233797963741</v>
      </c>
      <c r="AQ4">
        <v>6.9474612293828897E-2</v>
      </c>
    </row>
    <row r="5" spans="1:43" x14ac:dyDescent="0.25">
      <c r="A5" t="s">
        <v>49</v>
      </c>
      <c r="B5">
        <v>0.1090190715314957</v>
      </c>
      <c r="C5">
        <v>7.8240726583612294E-2</v>
      </c>
      <c r="D5">
        <v>0.11350823211337467</v>
      </c>
      <c r="E5">
        <v>7.1605313583505983E-2</v>
      </c>
      <c r="F5">
        <v>5.3253471826217216E-2</v>
      </c>
      <c r="G5">
        <v>0.10509141234774481</v>
      </c>
      <c r="H5">
        <v>6.8172648919478954E-2</v>
      </c>
      <c r="I5">
        <v>8.7143276719761506E-2</v>
      </c>
      <c r="J5">
        <v>1.4906496133653871E-2</v>
      </c>
      <c r="K5">
        <v>8.0779200517129557E-2</v>
      </c>
      <c r="L5">
        <v>3.6329734278349964E-2</v>
      </c>
      <c r="M5">
        <v>6.9436855268618647E-2</v>
      </c>
      <c r="N5">
        <v>8.4523190102578041E-2</v>
      </c>
      <c r="O5">
        <v>9.7545486092653289E-2</v>
      </c>
      <c r="P5">
        <v>6.2354438897111238E-2</v>
      </c>
      <c r="Q5">
        <v>8.1756250976772971E-2</v>
      </c>
      <c r="R5">
        <v>6.2607569605480209E-2</v>
      </c>
      <c r="S5">
        <v>0.10838800306848273</v>
      </c>
      <c r="T5">
        <v>0.37722017203465558</v>
      </c>
      <c r="U5">
        <v>7.708762675971241E-2</v>
      </c>
      <c r="V5">
        <v>2.845734372979368E-2</v>
      </c>
      <c r="W5">
        <v>5.1133516942673672E-2</v>
      </c>
      <c r="X5">
        <v>6.4074123700757851E-2</v>
      </c>
      <c r="Y5">
        <v>8.1639528400442835E-2</v>
      </c>
      <c r="Z5">
        <v>0.17447578832746635</v>
      </c>
      <c r="AA5">
        <v>7.6634314768942932E-2</v>
      </c>
      <c r="AB5">
        <v>6.5091914566727915E-2</v>
      </c>
      <c r="AC5">
        <v>1.8910229624606801E-2</v>
      </c>
      <c r="AD5">
        <v>0.1792440919061408</v>
      </c>
      <c r="AE5">
        <v>0.18125561789510147</v>
      </c>
      <c r="AF5">
        <v>0.13371093717299745</v>
      </c>
      <c r="AG5">
        <v>0.45016265827246166</v>
      </c>
      <c r="AH5">
        <v>0.18919410663382061</v>
      </c>
      <c r="AI5">
        <v>3.3461114592615297E-2</v>
      </c>
      <c r="AJ5">
        <v>7.0129283210192989E-2</v>
      </c>
      <c r="AK5">
        <v>0.11026417615566569</v>
      </c>
      <c r="AL5">
        <v>6.215988045261607E-2</v>
      </c>
      <c r="AM5">
        <v>6.9327043389125667E-2</v>
      </c>
      <c r="AN5">
        <v>8.8903421252582212E-3</v>
      </c>
      <c r="AO5">
        <v>-5.9266566203362561E-3</v>
      </c>
      <c r="AP5">
        <v>1.8960790894634743E-2</v>
      </c>
      <c r="AQ5">
        <v>3.3578108009078736E-3</v>
      </c>
    </row>
    <row r="6" spans="1:43" x14ac:dyDescent="0.25">
      <c r="A6" t="s">
        <v>50</v>
      </c>
      <c r="B6">
        <v>0.54039027443488385</v>
      </c>
      <c r="C6">
        <v>0.25061235883383171</v>
      </c>
      <c r="D6">
        <v>0.38503870841110416</v>
      </c>
      <c r="E6">
        <v>0.31289371172470143</v>
      </c>
      <c r="F6">
        <v>0.23829000601865161</v>
      </c>
      <c r="G6">
        <v>0.33848703816883602</v>
      </c>
      <c r="H6">
        <v>0.27984666718261048</v>
      </c>
      <c r="I6">
        <v>0.26947428514441624</v>
      </c>
      <c r="J6">
        <v>0.20830782064380426</v>
      </c>
      <c r="K6">
        <v>0.24189848498811148</v>
      </c>
      <c r="L6">
        <v>0.14063653834963163</v>
      </c>
      <c r="M6">
        <v>0.24153482516833227</v>
      </c>
      <c r="N6">
        <v>0.27698089381619978</v>
      </c>
      <c r="O6">
        <v>0.29303882579921997</v>
      </c>
      <c r="P6">
        <v>0.2162270404428483</v>
      </c>
      <c r="Q6">
        <v>0.18664044446125816</v>
      </c>
      <c r="R6">
        <v>0.18604331520062398</v>
      </c>
      <c r="S6">
        <v>0.32301199126865843</v>
      </c>
      <c r="T6">
        <v>0.59112513117549914</v>
      </c>
      <c r="U6">
        <v>0.40085474288886314</v>
      </c>
      <c r="V6">
        <v>0.27582939368522402</v>
      </c>
      <c r="W6">
        <v>0.11840699351837158</v>
      </c>
      <c r="X6">
        <v>0.50187321396473417</v>
      </c>
      <c r="Y6">
        <v>0.30100795039380113</v>
      </c>
      <c r="Z6">
        <v>0.64965188295491183</v>
      </c>
      <c r="AA6">
        <v>0.36493484610599969</v>
      </c>
      <c r="AB6">
        <v>0.36399439641094994</v>
      </c>
      <c r="AC6">
        <v>0.59602106298845836</v>
      </c>
      <c r="AD6">
        <v>0.54166543816115964</v>
      </c>
      <c r="AE6">
        <v>0.79724839791123592</v>
      </c>
      <c r="AF6">
        <v>0.34863195390422924</v>
      </c>
      <c r="AG6">
        <v>0.73883958589602039</v>
      </c>
      <c r="AH6">
        <v>0.67544106963684525</v>
      </c>
      <c r="AI6">
        <v>0.35677266389536882</v>
      </c>
      <c r="AJ6">
        <v>0.79232175232106095</v>
      </c>
      <c r="AK6">
        <v>0.34492054100503716</v>
      </c>
      <c r="AL6">
        <v>0.49778866381754289</v>
      </c>
      <c r="AM6">
        <v>0.55446131743144222</v>
      </c>
      <c r="AN6">
        <v>0.72438172767250608</v>
      </c>
      <c r="AO6">
        <v>0.51524327315204332</v>
      </c>
      <c r="AP6">
        <v>0.44982804658047182</v>
      </c>
      <c r="AQ6">
        <v>0.63103234060070057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Rough Calculations</vt:lpstr>
      <vt:lpstr>Domestic Technical Coefficients</vt:lpstr>
      <vt:lpstr>Imported Technical Coefficients</vt:lpstr>
      <vt:lpstr>Trying Again!</vt:lpstr>
      <vt:lpstr>Value Added By 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 Benjamin Peter</dc:creator>
  <cp:lastModifiedBy>Gross Benjamin Peter</cp:lastModifiedBy>
  <dcterms:created xsi:type="dcterms:W3CDTF">2026-07-14T08:14:08Z</dcterms:created>
  <dcterms:modified xsi:type="dcterms:W3CDTF">2026-07-15T10:09:26Z</dcterms:modified>
</cp:coreProperties>
</file>